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G:\SheetMetal Projects\SHOP\"/>
    </mc:Choice>
  </mc:AlternateContent>
  <xr:revisionPtr revIDLastSave="0" documentId="13_ncr:1_{0E159034-4776-4256-A389-22FC5CBF8BD9}" xr6:coauthVersionLast="47" xr6:coauthVersionMax="47" xr10:uidLastSave="{00000000-0000-0000-0000-000000000000}"/>
  <bookViews>
    <workbookView xWindow="-120" yWindow="-120" windowWidth="29040" windowHeight="15720" tabRatio="415" firstSheet="1" activeTab="1" xr2:uid="{00000000-000D-0000-FFFF-FFFF00000000}"/>
  </bookViews>
  <sheets>
    <sheet name="Chart1" sheetId="2" r:id="rId1"/>
    <sheet name="Sheet1" sheetId="1" r:id="rId2"/>
    <sheet name="Hold|Order-Log" sheetId="5" r:id="rId3"/>
  </sheets>
  <definedNames>
    <definedName name="_xlnm.Print_Area" localSheetId="2">'Hold|Order-Log'!$A$1:$F$42</definedName>
    <definedName name="_xlnm.Print_Area" localSheetId="1">Sheet1!$A$1:$F$42</definedName>
    <definedName name="_xlnm.Print_Titles" localSheetId="2">'Hold|Order-Log'!$1:$2</definedName>
    <definedName name="_xlnm.Print_Titles" localSheetId="1">Sheet1!$1:$2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5" l="1"/>
  <c r="M14" i="5"/>
  <c r="M15" i="5" s="1"/>
  <c r="M7" i="5"/>
  <c r="M8" i="5" s="1"/>
  <c r="M1" i="5"/>
  <c r="M1" i="1"/>
  <c r="M2" i="1" s="1"/>
  <c r="M2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tc={DEC0CEAC-E4F7-46F9-9956-A6AAA3CF9757}</author>
    <author>tc={8B3B4AA1-E244-409D-9C2E-A7F23D8D9253}</author>
    <author>tc={E4B24C67-2109-45EE-A306-599F82B09D33}</author>
  </authors>
  <commentList>
    <comment ref="B11" authorId="0" shapeId="0" xr:uid="{DEC0CEAC-E4F7-46F9-9956-A6AAA3CF9757}">
      <text>
        <t>[Threaded comment]
Your version of Excel allows you to read this threaded comment; however, any edits to it will get removed if the file is opened in a newer version of Excel. Learn more: https://go.microsoft.com/fwlink/?linkid=870924
Comment:
     Will,
         Are these on Hold?</t>
      </text>
    </comment>
    <comment ref="B13" authorId="1" shapeId="0" xr:uid="{8B3B4AA1-E244-409D-9C2E-A7F23D8D9253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still need to finish aluminum when it comes in Hold waiting for answers </t>
      </text>
    </comment>
    <comment ref="E18" authorId="2" shapeId="0" xr:uid="{E4B24C67-2109-45EE-A306-599F82B09D33}">
      <text>
        <t>[Threaded comment]
Your version of Excel allows you to read this threaded comment; however, any edits to it will get removed if the file is opened in a newer version of Excel. Learn more: https://go.microsoft.com/fwlink/?linkid=870924
Comment:
    Please re ticket with switching to Duct-Mate connection 
Reply:
    Re-Ticketed all part and switched any tdx to DM.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tc={AE32BF4E-5008-4030-82F7-7A58467AAFB4}</author>
    <author>tc={A2B4FD37-4A95-4AF7-9D9E-0A398FE4223A}</author>
  </authors>
  <commentList>
    <comment ref="B10" authorId="0" shapeId="0" xr:uid="{AE32BF4E-5008-4030-82F7-7A58467AAF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Please re ticket with switching to Duct-Mate connection 
Reply:
    Re-Ticketed all part and switched any tdx to DM.</t>
      </text>
    </comment>
    <comment ref="E27" authorId="1" shapeId="0" xr:uid="{A2B4FD37-4A95-4AF7-9D9E-0A398FE4223A}">
      <text>
        <t>[Threaded comment]
Your version of Excel allows you to read this threaded comment; however, any edits to it will get removed if the file is opened in a newer version of Excel. Learn more: https://go.microsoft.com/fwlink/?linkid=870924
Comment:
    James called an asked to have the swivel elbows on this floor remade as gored elbows.
Reply:
    These all have to be redrawn.</t>
      </text>
    </comment>
  </commentList>
</comments>
</file>

<file path=xl/sharedStrings.xml><?xml version="1.0" encoding="utf-8"?>
<sst xmlns="http://schemas.openxmlformats.org/spreadsheetml/2006/main" count="48" uniqueCount="43">
  <si>
    <t>FABRICATION SCHEDULE</t>
  </si>
  <si>
    <t xml:space="preserve">NUMBERING </t>
  </si>
  <si>
    <t xml:space="preserve">FABRICATION </t>
  </si>
  <si>
    <t>X</t>
  </si>
  <si>
    <t>BURN</t>
  </si>
  <si>
    <t>Hold</t>
  </si>
  <si>
    <r>
      <t xml:space="preserve">24-102 National Guard Roof Curbs Only </t>
    </r>
    <r>
      <rPr>
        <b/>
        <sz val="11"/>
        <color rgb="FFFF0000"/>
        <rFont val="Calibri"/>
        <family val="2"/>
        <scheme val="minor"/>
      </rPr>
      <t>(waiting on height verification)</t>
    </r>
  </si>
  <si>
    <r>
      <t xml:space="preserve">23-265 PS6R PH-2 Pink </t>
    </r>
    <r>
      <rPr>
        <b/>
        <sz val="11"/>
        <color rgb="FFFF0000"/>
        <rFont val="Calibri"/>
        <family val="2"/>
        <scheme val="minor"/>
      </rPr>
      <t>(NEED MORE INFO ON CURB/ADAPTER)</t>
    </r>
  </si>
  <si>
    <t xml:space="preserve">HOLD </t>
  </si>
  <si>
    <t>24-107 IS 162 [3-1 B1,2,3,4,5,6(COLLARS)]</t>
  </si>
  <si>
    <t>24-107 IS 162 [3-2 B1,2,3,4,5,6,7,8(COLL)] [3RDFL FLEX/HETO RPT IN PURCH FLDR]</t>
  </si>
  <si>
    <t>Order</t>
  </si>
  <si>
    <t xml:space="preserve">Order </t>
  </si>
  <si>
    <r>
      <rPr>
        <b/>
        <sz val="11"/>
        <color theme="1"/>
        <rFont val="Calibri"/>
        <family val="2"/>
        <scheme val="minor"/>
      </rPr>
      <t>24-102 National Guard</t>
    </r>
    <r>
      <rPr>
        <b/>
        <sz val="11"/>
        <color rgb="FFFF0000"/>
        <rFont val="Calibri"/>
        <family val="2"/>
        <scheme val="minor"/>
      </rPr>
      <t xml:space="preserve"> [SK 3-2B1] </t>
    </r>
  </si>
  <si>
    <t>24-284 Ticket (hold)</t>
  </si>
  <si>
    <t>24-107 Tickets / missing duct w/CODs</t>
  </si>
  <si>
    <t>23-226 PS 5 C-1 [C-1B1 (Waiting for ALD)</t>
  </si>
  <si>
    <t xml:space="preserve">25-051 Tickets </t>
  </si>
  <si>
    <t>MT</t>
  </si>
  <si>
    <t>25-033 | 26 Ward fan Rm duct [1-1B1]**</t>
  </si>
  <si>
    <t xml:space="preserve">order </t>
  </si>
  <si>
    <t xml:space="preserve">Work when we can </t>
  </si>
  <si>
    <r>
      <t xml:space="preserve">25-033 | 26 Ward [1-1B1]** </t>
    </r>
    <r>
      <rPr>
        <b/>
        <i/>
        <sz val="11"/>
        <color rgb="FFFF0000"/>
        <rFont val="Calibri"/>
        <family val="2"/>
        <scheme val="minor"/>
      </rPr>
      <t xml:space="preserve">Knock-Up </t>
    </r>
  </si>
  <si>
    <t>26-017 TFCU B1,2,3 [B1,2,3,PURCH PARTS]</t>
  </si>
  <si>
    <t>26-015 | 200 Park 10th Floor 12th del</t>
  </si>
  <si>
    <t>23-242 HS425  5-1 yellow [5-1B1]</t>
  </si>
  <si>
    <t>23-242 HS425 5-2 yellow [5-2B1]</t>
  </si>
  <si>
    <t>23-242 HS425  5-4  yellow [5-4B1]</t>
  </si>
  <si>
    <t xml:space="preserve"> </t>
  </si>
  <si>
    <t>24-109 FDNY MezZ [MEZZ-1 B1,2,3]</t>
  </si>
  <si>
    <t>23-242 HS425 5-6 [5-6B1]</t>
  </si>
  <si>
    <t>26-017 TFCU B1,2,3 [B1,2,3,PURCH PARTS]?? DNB/NO UPDATES YET</t>
  </si>
  <si>
    <t>23-264 HS FOR ART + TECH - C-4 [C-4B1]</t>
  </si>
  <si>
    <t xml:space="preserve">23-242 TICKETS </t>
  </si>
  <si>
    <t xml:space="preserve">26-013 | BILT | 2-1 B7 (PLENUM TAPS) + TICKET B1 PLENUMS IN SAME BATCH </t>
  </si>
  <si>
    <t xml:space="preserve">23-258 Tickets </t>
  </si>
  <si>
    <t xml:space="preserve">24-108 Tickets </t>
  </si>
  <si>
    <t>23-276 | GWC BLD-A-CAF-RF [BR-1B2]</t>
  </si>
  <si>
    <t xml:space="preserve">23-248 PS 140 Tickets </t>
  </si>
  <si>
    <t xml:space="preserve">23-242 Tickets-2 </t>
  </si>
  <si>
    <r>
      <t xml:space="preserve">24-108 EVANDER C-1 B1 (BLUE) </t>
    </r>
    <r>
      <rPr>
        <b/>
        <sz val="11"/>
        <color rgb="FFFF0000"/>
        <rFont val="Calibri"/>
        <family val="2"/>
        <scheme val="minor"/>
      </rPr>
      <t>need material</t>
    </r>
  </si>
  <si>
    <r>
      <t>24-108 EVANDER C-2 B2 (TAN)</t>
    </r>
    <r>
      <rPr>
        <b/>
        <sz val="11"/>
        <color rgb="FFFF0000"/>
        <rFont val="Calibri"/>
        <family val="2"/>
        <scheme val="minor"/>
      </rPr>
      <t>need material</t>
    </r>
  </si>
  <si>
    <t xml:space="preserve">24-107 IS 162K [3-1 B4,5]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</si>
</sst>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6" x14ac:knownFonts="1"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0"/>
      <color rgb="FF000000"/>
      <name val="Calibri"/>
      <family val="2"/>
    </font>
    <font>
      <sz val="11"/>
      <color rgb="FF9C0006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8"/>
      <color theme="1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20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20"/>
      <name val="Calibri"/>
      <family val="2"/>
      <scheme val="minor"/>
    </font>
    <font>
      <b/>
      <sz val="8"/>
      <name val="Calibri"/>
      <family val="2"/>
      <scheme val="minor"/>
    </font>
    <font>
      <b/>
      <i/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0"/>
        <bgColor indexed="64"/>
      </patternFill>
    </fill>
    <fill>
      <gradientFill type="path" left="0.5" right="0.5" top="0.5" bottom="0.5">
        <stop position="0">
          <color rgb="FFFF0000"/>
        </stop>
        <stop position="1">
          <color theme="0"/>
        </stop>
      </gradientFill>
    </fill>
    <fill>
      <gradientFill degree="90">
        <stop position="0">
          <color theme="0"/>
        </stop>
        <stop position="0.5">
          <color rgb="FFFFFF00"/>
        </stop>
        <stop position="1">
          <color theme="0"/>
        </stop>
      </gradientFill>
    </fill>
    <fill>
      <gradientFill>
        <stop position="0">
          <color theme="0"/>
        </stop>
        <stop position="0.5">
          <color rgb="FF00B0F0"/>
        </stop>
        <stop position="1">
          <color theme="0"/>
        </stop>
      </gradientFill>
    </fill>
    <fill>
      <gradientFill>
        <stop position="0">
          <color theme="0"/>
        </stop>
        <stop position="0.5">
          <color rgb="FF7030A0"/>
        </stop>
        <stop position="1">
          <color theme="0"/>
        </stop>
      </gradientFill>
    </fill>
    <fill>
      <gradientFill>
        <stop position="0">
          <color theme="0"/>
        </stop>
        <stop position="0.5">
          <color theme="7" tint="0.40000610370189521"/>
        </stop>
        <stop position="1">
          <color theme="0"/>
        </stop>
      </gradientFill>
    </fill>
    <fill>
      <gradientFill>
        <stop position="0">
          <color theme="0"/>
        </stop>
        <stop position="0.5">
          <color theme="9" tint="0.40000610370189521"/>
        </stop>
        <stop position="1">
          <color theme="0"/>
        </stop>
      </gradientFill>
    </fill>
    <fill>
      <gradientFill>
        <stop position="0">
          <color theme="0"/>
        </stop>
        <stop position="1">
          <color rgb="FFFF7575"/>
        </stop>
      </gradientFill>
    </fill>
  </fills>
  <borders count="32">
    <border>
      <left/>
      <right/>
      <top/>
      <bottom/>
      <diagonal/>
    </border>
    <border>
      <left/>
      <right/>
      <top style="thick">
        <color auto="1"/>
      </top>
      <bottom style="thin">
        <color auto="1"/>
      </bottom>
      <diagonal/>
    </border>
    <border>
      <left style="dotted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thick">
        <color auto="1"/>
      </bottom>
      <diagonal/>
    </border>
    <border>
      <left style="medium">
        <color indexed="64"/>
      </left>
      <right/>
      <top style="thick">
        <color auto="1"/>
      </top>
      <bottom style="thin">
        <color auto="1"/>
      </bottom>
      <diagonal/>
    </border>
    <border>
      <left style="dotted">
        <color auto="1"/>
      </left>
      <right style="medium">
        <color indexed="64"/>
      </right>
      <top style="thick">
        <color auto="1"/>
      </top>
      <bottom style="thin">
        <color auto="1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dotted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 style="thick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</borders>
  <cellStyleXfs count="11">
    <xf numFmtId="0" fontId="0" fillId="0" borderId="5">
      <alignment wrapText="1"/>
    </xf>
    <xf numFmtId="0" fontId="7" fillId="0" borderId="0" applyNumberFormat="0" applyFill="0" applyBorder="0" applyAlignment="0" applyProtection="0"/>
    <xf numFmtId="0" fontId="10" fillId="2" borderId="0" applyNumberFormat="0" applyBorder="0" applyAlignment="0" applyProtection="0"/>
    <xf numFmtId="0" fontId="1" fillId="4" borderId="5" applyBorder="0">
      <alignment wrapText="1"/>
    </xf>
    <xf numFmtId="0" fontId="1" fillId="5" borderId="5">
      <alignment horizontal="left" wrapText="1"/>
      <protection locked="0"/>
    </xf>
    <xf numFmtId="0" fontId="1" fillId="6" borderId="5">
      <alignment wrapText="1"/>
    </xf>
    <xf numFmtId="0" fontId="1" fillId="7" borderId="5">
      <alignment horizontal="left" wrapText="1" indent="1"/>
      <protection locked="0"/>
    </xf>
    <xf numFmtId="0" fontId="11" fillId="8" borderId="5">
      <alignment wrapText="1"/>
    </xf>
    <xf numFmtId="0" fontId="14" fillId="9" borderId="5">
      <alignment horizontal="left" wrapText="1"/>
      <protection locked="0"/>
    </xf>
    <xf numFmtId="0" fontId="1" fillId="10" borderId="5"/>
    <xf numFmtId="0" fontId="12" fillId="3" borderId="5">
      <alignment horizontal="left" wrapText="1"/>
    </xf>
  </cellStyleXfs>
  <cellXfs count="111">
    <xf numFmtId="0" fontId="0" fillId="0" borderId="5" xfId="0">
      <alignment wrapText="1"/>
    </xf>
    <xf numFmtId="0" fontId="3" fillId="0" borderId="5" xfId="0" applyFont="1" applyAlignment="1">
      <alignment horizontal="center" vertical="center"/>
    </xf>
    <xf numFmtId="0" fontId="0" fillId="0" borderId="1" xfId="0" applyBorder="1">
      <alignment wrapText="1"/>
    </xf>
    <xf numFmtId="0" fontId="4" fillId="0" borderId="5" xfId="0" applyFont="1">
      <alignment wrapText="1"/>
    </xf>
    <xf numFmtId="0" fontId="7" fillId="0" borderId="0" xfId="1" applyNumberFormat="1" applyBorder="1" applyAlignment="1"/>
    <xf numFmtId="0" fontId="7" fillId="0" borderId="0" xfId="1" applyNumberFormat="1" applyBorder="1" applyAlignment="1" applyProtection="1">
      <protection locked="0"/>
    </xf>
    <xf numFmtId="0" fontId="2" fillId="0" borderId="2" xfId="0" applyFont="1" applyBorder="1" applyAlignment="1">
      <alignment horizontal="center" vertical="center"/>
    </xf>
    <xf numFmtId="0" fontId="1" fillId="0" borderId="4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6" xfId="0" applyFont="1" applyBorder="1" applyAlignment="1" applyProtection="1">
      <alignment horizontal="left" wrapText="1"/>
      <protection locked="0"/>
    </xf>
    <xf numFmtId="0" fontId="1" fillId="0" borderId="6" xfId="0" applyFont="1" applyBorder="1" applyAlignment="1">
      <alignment horizontal="center"/>
    </xf>
    <xf numFmtId="0" fontId="1" fillId="0" borderId="6" xfId="0" applyFont="1" applyBorder="1">
      <alignment wrapText="1"/>
    </xf>
    <xf numFmtId="0" fontId="6" fillId="0" borderId="10" xfId="0" applyFont="1" applyBorder="1" applyAlignment="1">
      <alignment horizontal="center" vertical="center"/>
    </xf>
    <xf numFmtId="0" fontId="6" fillId="0" borderId="10" xfId="0" applyFont="1" applyBorder="1" applyAlignment="1" applyProtection="1">
      <alignment horizontal="center" vertical="center"/>
      <protection locked="0"/>
    </xf>
    <xf numFmtId="0" fontId="11" fillId="3" borderId="5" xfId="2" applyFont="1" applyFill="1" applyBorder="1" applyAlignment="1">
      <alignment horizontal="left" wrapText="1" shrinkToFit="1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0" fillId="0" borderId="6" xfId="0" applyBorder="1">
      <alignment wrapText="1"/>
    </xf>
    <xf numFmtId="0" fontId="3" fillId="0" borderId="0" xfId="0" applyFont="1" applyBorder="1" applyAlignment="1">
      <alignment horizontal="center" vertical="center"/>
    </xf>
    <xf numFmtId="164" fontId="0" fillId="0" borderId="0" xfId="0" applyNumberFormat="1" applyBorder="1" applyAlignment="1" applyProtection="1">
      <alignment horizontal="center" vertical="center"/>
      <protection locked="0"/>
    </xf>
    <xf numFmtId="164" fontId="0" fillId="0" borderId="0" xfId="0" applyNumberFormat="1" applyBorder="1" applyAlignment="1">
      <alignment horizontal="left"/>
    </xf>
    <xf numFmtId="0" fontId="0" fillId="0" borderId="0" xfId="0" applyBorder="1">
      <alignment wrapText="1"/>
    </xf>
    <xf numFmtId="0" fontId="1" fillId="0" borderId="0" xfId="0" applyFont="1" applyBorder="1" applyAlignment="1" applyProtection="1">
      <alignment horizontal="left"/>
      <protection locked="0"/>
    </xf>
    <xf numFmtId="0" fontId="1" fillId="0" borderId="0" xfId="0" applyFont="1" applyBorder="1" applyAlignment="1" applyProtection="1">
      <alignment horizontal="right" indent="1"/>
      <protection locked="0"/>
    </xf>
    <xf numFmtId="0" fontId="7" fillId="0" borderId="0" xfId="1" applyNumberFormat="1" applyFill="1" applyBorder="1" applyAlignment="1"/>
    <xf numFmtId="0" fontId="1" fillId="0" borderId="0" xfId="0" applyFont="1" applyBorder="1">
      <alignment wrapText="1"/>
    </xf>
    <xf numFmtId="0" fontId="1" fillId="0" borderId="0" xfId="0" applyFont="1" applyBorder="1" applyAlignment="1" applyProtection="1">
      <alignment horizontal="left" wrapText="1"/>
      <protection locked="0"/>
    </xf>
    <xf numFmtId="0" fontId="6" fillId="0" borderId="0" xfId="0" applyFont="1" applyBorder="1" applyAlignment="1">
      <alignment horizontal="center" vertical="center"/>
    </xf>
    <xf numFmtId="0" fontId="1" fillId="0" borderId="0" xfId="0" applyFont="1" applyBorder="1" applyProtection="1">
      <alignment wrapText="1"/>
      <protection locked="0"/>
    </xf>
    <xf numFmtId="0" fontId="1" fillId="0" borderId="0" xfId="0" applyFont="1" applyBorder="1" applyAlignment="1" applyProtection="1">
      <alignment horizontal="right"/>
      <protection locked="0"/>
    </xf>
    <xf numFmtId="0" fontId="1" fillId="0" borderId="5" xfId="0" applyFont="1">
      <alignment wrapText="1"/>
    </xf>
    <xf numFmtId="0" fontId="1" fillId="0" borderId="14" xfId="0" applyFont="1" applyBorder="1">
      <alignment wrapText="1"/>
    </xf>
    <xf numFmtId="0" fontId="0" fillId="0" borderId="13" xfId="0" applyBorder="1">
      <alignment wrapText="1"/>
    </xf>
    <xf numFmtId="0" fontId="4" fillId="0" borderId="13" xfId="0" applyFont="1" applyBorder="1">
      <alignment wrapText="1"/>
    </xf>
    <xf numFmtId="0" fontId="0" fillId="0" borderId="15" xfId="0" applyBorder="1">
      <alignment wrapText="1"/>
    </xf>
    <xf numFmtId="0" fontId="3" fillId="0" borderId="7" xfId="0" applyFont="1" applyBorder="1" applyAlignment="1">
      <alignment horizontal="center" vertical="center"/>
    </xf>
    <xf numFmtId="0" fontId="0" fillId="0" borderId="18" xfId="0" applyBorder="1">
      <alignment wrapText="1"/>
    </xf>
    <xf numFmtId="0" fontId="2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/>
    </xf>
    <xf numFmtId="0" fontId="6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/>
    </xf>
    <xf numFmtId="0" fontId="6" fillId="0" borderId="5" xfId="0" applyFont="1" applyAlignment="1">
      <alignment horizontal="center"/>
    </xf>
    <xf numFmtId="0" fontId="6" fillId="3" borderId="21" xfId="0" applyFont="1" applyFill="1" applyBorder="1" applyAlignment="1">
      <alignment horizontal="center" vertical="center"/>
    </xf>
    <xf numFmtId="0" fontId="6" fillId="3" borderId="21" xfId="0" applyFont="1" applyFill="1" applyBorder="1" applyAlignment="1" applyProtection="1">
      <alignment horizontal="center" vertical="center"/>
      <protection locked="0"/>
    </xf>
    <xf numFmtId="0" fontId="6" fillId="0" borderId="21" xfId="0" applyFont="1" applyBorder="1" applyAlignment="1" applyProtection="1">
      <alignment horizontal="center" vertical="center"/>
      <protection locked="0"/>
    </xf>
    <xf numFmtId="0" fontId="1" fillId="0" borderId="24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5" xfId="0" applyFont="1" applyAlignment="1" applyProtection="1">
      <alignment horizontal="left" wrapText="1"/>
      <protection locked="0"/>
    </xf>
    <xf numFmtId="0" fontId="5" fillId="0" borderId="5" xfId="0" applyFont="1">
      <alignment wrapText="1"/>
    </xf>
    <xf numFmtId="0" fontId="1" fillId="0" borderId="9" xfId="0" applyFont="1" applyBorder="1">
      <alignment wrapText="1"/>
    </xf>
    <xf numFmtId="0" fontId="0" fillId="0" borderId="10" xfId="0" applyBorder="1">
      <alignment wrapText="1"/>
    </xf>
    <xf numFmtId="0" fontId="1" fillId="0" borderId="11" xfId="0" applyFont="1" applyBorder="1">
      <alignment wrapText="1"/>
    </xf>
    <xf numFmtId="0" fontId="1" fillId="0" borderId="14" xfId="0" applyFont="1" applyBorder="1" applyAlignment="1" applyProtection="1">
      <alignment horizontal="left" wrapText="1"/>
      <protection locked="0"/>
    </xf>
    <xf numFmtId="0" fontId="5" fillId="0" borderId="14" xfId="0" applyFont="1" applyBorder="1">
      <alignment wrapText="1"/>
    </xf>
    <xf numFmtId="0" fontId="0" fillId="0" borderId="25" xfId="0" applyBorder="1">
      <alignment wrapText="1"/>
    </xf>
    <xf numFmtId="0" fontId="5" fillId="0" borderId="26" xfId="0" applyFont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5" xfId="0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15" fillId="0" borderId="5" xfId="0" applyFont="1" applyAlignment="1">
      <alignment horizontal="center" vertical="center" wrapText="1"/>
    </xf>
    <xf numFmtId="0" fontId="0" fillId="0" borderId="14" xfId="0" applyBorder="1">
      <alignment wrapText="1"/>
    </xf>
    <xf numFmtId="0" fontId="0" fillId="0" borderId="0" xfId="0" applyBorder="1" applyAlignment="1" applyProtection="1">
      <alignment horizontal="left"/>
      <protection locked="0"/>
    </xf>
    <xf numFmtId="0" fontId="7" fillId="0" borderId="5" xfId="1" applyBorder="1" applyAlignment="1">
      <alignment wrapText="1"/>
    </xf>
    <xf numFmtId="0" fontId="16" fillId="3" borderId="10" xfId="0" applyFont="1" applyFill="1" applyBorder="1" applyAlignment="1" applyProtection="1">
      <alignment horizontal="center" vertical="center" wrapText="1"/>
      <protection locked="0"/>
    </xf>
    <xf numFmtId="0" fontId="12" fillId="3" borderId="5" xfId="10">
      <alignment horizontal="left" wrapText="1"/>
    </xf>
    <xf numFmtId="0" fontId="18" fillId="0" borderId="10" xfId="0" applyFont="1" applyBorder="1" applyAlignment="1" applyProtection="1">
      <alignment horizontal="center" vertical="center"/>
      <protection locked="0"/>
    </xf>
    <xf numFmtId="0" fontId="17" fillId="0" borderId="10" xfId="0" applyFont="1" applyBorder="1">
      <alignment wrapText="1"/>
    </xf>
    <xf numFmtId="0" fontId="1" fillId="0" borderId="13" xfId="0" applyFont="1" applyBorder="1">
      <alignment wrapText="1"/>
    </xf>
    <xf numFmtId="0" fontId="6" fillId="0" borderId="13" xfId="0" applyFont="1" applyBorder="1" applyAlignment="1">
      <alignment horizontal="center"/>
    </xf>
    <xf numFmtId="0" fontId="6" fillId="0" borderId="23" xfId="0" applyFont="1" applyBorder="1" applyAlignment="1" applyProtection="1">
      <alignment horizontal="center" vertical="center"/>
      <protection locked="0"/>
    </xf>
    <xf numFmtId="0" fontId="1" fillId="0" borderId="29" xfId="0" applyFont="1" applyBorder="1" applyAlignment="1">
      <alignment horizontal="center"/>
    </xf>
    <xf numFmtId="0" fontId="1" fillId="0" borderId="30" xfId="0" applyFont="1" applyBorder="1" applyAlignment="1" applyProtection="1">
      <alignment horizontal="left" wrapText="1"/>
      <protection locked="0"/>
    </xf>
    <xf numFmtId="0" fontId="6" fillId="0" borderId="14" xfId="0" applyFont="1" applyBorder="1" applyAlignment="1">
      <alignment horizontal="center"/>
    </xf>
    <xf numFmtId="0" fontId="1" fillId="0" borderId="31" xfId="0" applyFont="1" applyBorder="1" applyAlignment="1">
      <alignment horizontal="center"/>
    </xf>
    <xf numFmtId="0" fontId="6" fillId="3" borderId="25" xfId="0" applyFont="1" applyFill="1" applyBorder="1" applyAlignment="1">
      <alignment horizontal="center" vertical="center"/>
    </xf>
    <xf numFmtId="0" fontId="17" fillId="0" borderId="0" xfId="0" applyFont="1" applyBorder="1">
      <alignment wrapText="1"/>
    </xf>
    <xf numFmtId="0" fontId="19" fillId="0" borderId="5" xfId="0" applyFont="1" applyAlignment="1">
      <alignment horizontal="center" vertical="center" wrapText="1"/>
    </xf>
    <xf numFmtId="0" fontId="20" fillId="0" borderId="5" xfId="0" applyFont="1" applyAlignment="1">
      <alignment horizontal="center" vertical="center"/>
    </xf>
    <xf numFmtId="0" fontId="19" fillId="0" borderId="14" xfId="0" applyFont="1" applyBorder="1" applyAlignment="1">
      <alignment horizontal="center" vertical="center" wrapText="1"/>
    </xf>
    <xf numFmtId="0" fontId="6" fillId="3" borderId="10" xfId="0" applyFont="1" applyFill="1" applyBorder="1" applyAlignment="1" applyProtection="1">
      <alignment horizontal="center" vertical="center"/>
      <protection locked="0"/>
    </xf>
    <xf numFmtId="0" fontId="6" fillId="0" borderId="28" xfId="0" applyFont="1" applyBorder="1" applyAlignment="1" applyProtection="1">
      <alignment horizontal="center" vertical="center"/>
      <protection locked="0"/>
    </xf>
    <xf numFmtId="0" fontId="6" fillId="3" borderId="28" xfId="0" applyFont="1" applyFill="1" applyBorder="1" applyAlignment="1" applyProtection="1">
      <alignment horizontal="center" vertical="center"/>
      <protection locked="0"/>
    </xf>
    <xf numFmtId="0" fontId="1" fillId="3" borderId="6" xfId="0" applyFont="1" applyFill="1" applyBorder="1" applyAlignment="1">
      <alignment horizontal="center"/>
    </xf>
    <xf numFmtId="0" fontId="0" fillId="3" borderId="5" xfId="0" applyFill="1">
      <alignment wrapText="1"/>
    </xf>
    <xf numFmtId="0" fontId="22" fillId="0" borderId="5" xfId="0" applyFont="1">
      <alignment wrapText="1"/>
    </xf>
    <xf numFmtId="0" fontId="4" fillId="0" borderId="5" xfId="0" applyFont="1" applyAlignment="1">
      <alignment horizontal="center" wrapText="1"/>
    </xf>
    <xf numFmtId="0" fontId="5" fillId="0" borderId="5" xfId="0" applyFont="1" applyAlignment="1">
      <alignment horizontal="center" wrapText="1"/>
    </xf>
    <xf numFmtId="0" fontId="6" fillId="0" borderId="27" xfId="0" applyFont="1" applyBorder="1" applyAlignment="1" applyProtection="1">
      <alignment horizontal="center" vertical="center"/>
      <protection locked="0"/>
    </xf>
    <xf numFmtId="0" fontId="12" fillId="0" borderId="5" xfId="0" applyFont="1">
      <alignment wrapText="1"/>
    </xf>
    <xf numFmtId="0" fontId="23" fillId="0" borderId="21" xfId="0" applyFont="1" applyBorder="1" applyAlignment="1" applyProtection="1">
      <alignment horizontal="center" vertical="center"/>
      <protection locked="0"/>
    </xf>
    <xf numFmtId="0" fontId="23" fillId="3" borderId="27" xfId="0" applyFont="1" applyFill="1" applyBorder="1" applyAlignment="1" applyProtection="1">
      <alignment horizontal="center" vertical="center"/>
      <protection locked="0"/>
    </xf>
    <xf numFmtId="0" fontId="6" fillId="3" borderId="27" xfId="0" applyFont="1" applyFill="1" applyBorder="1" applyAlignment="1" applyProtection="1">
      <alignment horizontal="center" vertical="center"/>
      <protection locked="0"/>
    </xf>
    <xf numFmtId="0" fontId="21" fillId="3" borderId="21" xfId="0" applyFont="1" applyFill="1" applyBorder="1" applyAlignment="1" applyProtection="1">
      <alignment horizontal="center" vertical="center"/>
      <protection locked="0"/>
    </xf>
    <xf numFmtId="0" fontId="21" fillId="3" borderId="27" xfId="0" applyFont="1" applyFill="1" applyBorder="1" applyAlignment="1">
      <alignment horizontal="center" vertical="center"/>
    </xf>
    <xf numFmtId="0" fontId="21" fillId="3" borderId="27" xfId="0" applyFont="1" applyFill="1" applyBorder="1" applyAlignment="1" applyProtection="1">
      <alignment horizontal="center" vertical="center"/>
      <protection locked="0"/>
    </xf>
    <xf numFmtId="0" fontId="21" fillId="0" borderId="21" xfId="0" applyFont="1" applyBorder="1" applyAlignment="1">
      <alignment horizontal="center" vertical="center"/>
    </xf>
    <xf numFmtId="0" fontId="18" fillId="3" borderId="10" xfId="0" applyFont="1" applyFill="1" applyBorder="1" applyAlignment="1" applyProtection="1">
      <alignment horizontal="left" vertical="center" wrapText="1"/>
      <protection locked="0"/>
    </xf>
    <xf numFmtId="0" fontId="6" fillId="0" borderId="5" xfId="0" applyFont="1" applyAlignment="1" applyProtection="1">
      <alignment horizontal="center" vertical="center"/>
      <protection locked="0"/>
    </xf>
    <xf numFmtId="0" fontId="10" fillId="2" borderId="5" xfId="2" applyBorder="1" applyAlignment="1">
      <alignment wrapText="1"/>
    </xf>
    <xf numFmtId="0" fontId="23" fillId="3" borderId="21" xfId="0" applyFont="1" applyFill="1" applyBorder="1" applyAlignment="1">
      <alignment horizontal="center" vertical="center"/>
    </xf>
    <xf numFmtId="0" fontId="23" fillId="3" borderId="21" xfId="0" applyFont="1" applyFill="1" applyBorder="1" applyAlignment="1" applyProtection="1">
      <alignment horizontal="center" vertical="center"/>
      <protection locked="0"/>
    </xf>
    <xf numFmtId="0" fontId="6" fillId="3" borderId="27" xfId="0" applyFont="1" applyFill="1" applyBorder="1" applyAlignment="1">
      <alignment horizontal="center" vertical="center"/>
    </xf>
    <xf numFmtId="0" fontId="23" fillId="0" borderId="21" xfId="0" applyFont="1" applyBorder="1" applyAlignment="1">
      <alignment horizontal="center" vertical="center"/>
    </xf>
    <xf numFmtId="0" fontId="1" fillId="4" borderId="5" xfId="3">
      <alignment wrapText="1"/>
    </xf>
    <xf numFmtId="0" fontId="23" fillId="0" borderId="27" xfId="0" applyFont="1" applyBorder="1" applyAlignment="1" applyProtection="1">
      <alignment horizontal="center" vertical="center"/>
      <protection locked="0"/>
    </xf>
    <xf numFmtId="0" fontId="5" fillId="0" borderId="8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164" fontId="3" fillId="0" borderId="16" xfId="0" applyNumberFormat="1" applyFont="1" applyBorder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</cellXfs>
  <cellStyles count="11">
    <cellStyle name="Bad" xfId="2" builtinId="27"/>
    <cellStyle name="Fri 4 Mon" xfId="8" xr:uid="{9ECCFBA4-BDFA-4134-8D45-AA692D958A79}"/>
    <cellStyle name="Hyperlink" xfId="1" builtinId="8"/>
    <cellStyle name="Mon 4 Tues" xfId="4" xr:uid="{99B6CF84-62DC-428A-A332-3AA95F76BE17}"/>
    <cellStyle name="Normal" xfId="0" builtinId="0" customBuiltin="1"/>
    <cellStyle name="Thur 4 Fri" xfId="7" xr:uid="{B141D9BE-8DA5-4CD9-B109-5A0D3D8F0D73}"/>
    <cellStyle name="TICKETS" xfId="10" xr:uid="{F0BD0A5E-4612-4A49-B4A1-6F94F6048B51}"/>
    <cellStyle name="TODAY" xfId="3" xr:uid="{0562D698-2956-41DF-B3C3-454620F76E32}"/>
    <cellStyle name="Tues 4 Wed" xfId="5" xr:uid="{276E2172-1AE6-46A0-9BC1-A0755835AE63}"/>
    <cellStyle name="Wed 4 Thur" xfId="6" xr:uid="{9F99A5A6-F6FC-4159-BB6A-2C1766C21661}"/>
    <cellStyle name="Wrapping" xfId="9" xr:uid="{094C9D8F-ED89-46DD-B105-90B1E8A94AF7}"/>
  </cellStyles>
  <dxfs count="0"/>
  <tableStyles count="0" defaultTableStyle="TableStyleMedium2" defaultPivotStyle="PivotStyleLight16"/>
  <colors>
    <mruColors>
      <color rgb="FFFEF4FD"/>
      <color rgb="FFFF7575"/>
      <color rgb="FFFAC2F5"/>
      <color rgb="FFE64A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microsoft.com/office/2017/10/relationships/person" Target="persons/person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Sheet1!$B$1:$B$2</c:f>
              <c:strCache>
                <c:ptCount val="2"/>
                <c:pt idx="0">
                  <c:v>FABRICATION SCHEDULE</c:v>
                </c:pt>
                <c:pt idx="1">
                  <c:v>NUMBERING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Sheet1!$A$3:$A$42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f>Sheet1!$B$32:$B$42</c:f>
              <c:numCache>
                <c:formatCode>General</c:formatCode>
                <c:ptCount val="11"/>
              </c:numCache>
            </c:numRef>
          </c:val>
          <c:extLst>
            <c:ext xmlns:c16="http://schemas.microsoft.com/office/drawing/2014/chart" uri="{C3380CC4-5D6E-409C-BE32-E72D297353CC}">
              <c16:uniqueId val="{00000000-7259-4627-96B2-FD487920E672}"/>
            </c:ext>
          </c:extLst>
        </c:ser>
        <c:ser>
          <c:idx val="1"/>
          <c:order val="1"/>
          <c:tx>
            <c:strRef>
              <c:f>Sheet1!$C$1:$C$2</c:f>
              <c:strCache>
                <c:ptCount val="2"/>
                <c:pt idx="0">
                  <c:v>FABRICATION SCHEDULE</c:v>
                </c:pt>
                <c:pt idx="1">
                  <c:v>X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Sheet1!$A$3:$A$42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f>Sheet1!$C$23:$C$42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01-7259-4627-96B2-FD487920E672}"/>
            </c:ext>
          </c:extLst>
        </c:ser>
        <c:ser>
          <c:idx val="2"/>
          <c:order val="2"/>
          <c:tx>
            <c:strRef>
              <c:f>Sheet1!$D$1:$D$2</c:f>
              <c:strCache>
                <c:ptCount val="2"/>
                <c:pt idx="0">
                  <c:v>Wednesday, May 6, 2026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Sheet1!$A$3:$A$42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f>Sheet1!$D$3:$D$42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59-4627-96B2-FD487920E672}"/>
            </c:ext>
          </c:extLst>
        </c:ser>
        <c:ser>
          <c:idx val="3"/>
          <c:order val="3"/>
          <c:tx>
            <c:strRef>
              <c:f>Sheet1!$E$1:$E$2</c:f>
              <c:strCache>
                <c:ptCount val="2"/>
                <c:pt idx="0">
                  <c:v>Wednesday, May 6, 2026</c:v>
                </c:pt>
                <c:pt idx="1">
                  <c:v>FABRICATION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Sheet1!$A$3:$A$42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f>Sheet1!$E$9:$E$42</c:f>
              <c:numCache>
                <c:formatCode>General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59-4627-96B2-FD487920E672}"/>
            </c:ext>
          </c:extLst>
        </c:ser>
        <c:ser>
          <c:idx val="4"/>
          <c:order val="4"/>
          <c:tx>
            <c:strRef>
              <c:f>Sheet1!$F$1:$F$2</c:f>
              <c:strCache>
                <c:ptCount val="2"/>
                <c:pt idx="0">
                  <c:v>Wednesday, May 6, 2026</c:v>
                </c:pt>
                <c:pt idx="1">
                  <c:v>FABRICATION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Sheet1!$A$3:$A$42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f>Sheet1!$F$3:$F$43</c:f>
              <c:numCache>
                <c:formatCode>General</c:formatCode>
                <c:ptCount val="4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59-4627-96B2-FD487920E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2370032"/>
        <c:axId val="232370360"/>
      </c:barChart>
      <c:catAx>
        <c:axId val="232370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370360"/>
        <c:crosses val="autoZero"/>
        <c:auto val="1"/>
        <c:lblAlgn val="ctr"/>
        <c:lblOffset val="100"/>
        <c:noMultiLvlLbl val="0"/>
      </c:catAx>
      <c:valAx>
        <c:axId val="232370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370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268C10F-6F8B-4CC6-BA38-41238EC34460}">
  <sheetPr codeName="Chart1"/>
  <sheetViews>
    <sheetView zoomScale="113" workbookViewId="0" zoomToFit="1"/>
  </sheetViews>
  <pageMargins left="0.7" right="0.7" top="0.75" bottom="0.75" header="0.3" footer="0.3"/>
  <pageSetup orientation="landscape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ustomXml" Target="../ink/ink4.xml"/><Relationship Id="rId7" Type="http://schemas.openxmlformats.org/officeDocument/2006/relationships/image" Target="../media/image1.png"/><Relationship Id="rId1" Type="http://schemas.openxmlformats.org/officeDocument/2006/relationships/customXml" Target="../ink/ink1.xml"/><Relationship Id="rId6" Type="http://schemas.openxmlformats.org/officeDocument/2006/relationships/customXml" Target="../ink/ink3.xml"/><Relationship Id="rId5" Type="http://schemas.openxmlformats.org/officeDocument/2006/relationships/customXml" Target="../ink/ink2.xml"/><Relationship Id="rId4" Type="http://schemas.openxmlformats.org/officeDocument/2006/relationships/image" Target="../media/image2.png"/><Relationship Id="rId9" Type="http://schemas.openxmlformats.org/officeDocument/2006/relationships/customXml" Target="../ink/ink5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0.png"/><Relationship Id="rId13" Type="http://schemas.openxmlformats.org/officeDocument/2006/relationships/customXml" Target="../ink/ink12.xml"/><Relationship Id="rId18" Type="http://schemas.openxmlformats.org/officeDocument/2006/relationships/image" Target="../media/image110.png"/><Relationship Id="rId3" Type="http://schemas.openxmlformats.org/officeDocument/2006/relationships/customXml" Target="../ink/ink7.xml"/><Relationship Id="rId7" Type="http://schemas.openxmlformats.org/officeDocument/2006/relationships/customXml" Target="../ink/ink9.xml"/><Relationship Id="rId12" Type="http://schemas.openxmlformats.org/officeDocument/2006/relationships/image" Target="../media/image14.png"/><Relationship Id="rId17" Type="http://schemas.openxmlformats.org/officeDocument/2006/relationships/customXml" Target="../ink/ink14.xml"/><Relationship Id="rId2" Type="http://schemas.openxmlformats.org/officeDocument/2006/relationships/image" Target="../media/image11.png"/><Relationship Id="rId16" Type="http://schemas.openxmlformats.org/officeDocument/2006/relationships/image" Target="../media/image18.png"/><Relationship Id="rId1" Type="http://schemas.openxmlformats.org/officeDocument/2006/relationships/customXml" Target="../ink/ink6.xml"/><Relationship Id="rId6" Type="http://schemas.openxmlformats.org/officeDocument/2006/relationships/image" Target="../media/image111.png"/><Relationship Id="rId11" Type="http://schemas.openxmlformats.org/officeDocument/2006/relationships/customXml" Target="../ink/ink11.xml"/><Relationship Id="rId5" Type="http://schemas.openxmlformats.org/officeDocument/2006/relationships/customXml" Target="../ink/ink8.xml"/><Relationship Id="rId15" Type="http://schemas.openxmlformats.org/officeDocument/2006/relationships/customXml" Target="../ink/ink13.xml"/><Relationship Id="rId10" Type="http://schemas.openxmlformats.org/officeDocument/2006/relationships/image" Target="../media/image12.png"/><Relationship Id="rId4" Type="http://schemas.openxmlformats.org/officeDocument/2006/relationships/image" Target="../media/image10.png"/><Relationship Id="rId9" Type="http://schemas.openxmlformats.org/officeDocument/2006/relationships/customXml" Target="../ink/ink10.xml"/><Relationship Id="rId14" Type="http://schemas.openxmlformats.org/officeDocument/2006/relationships/image" Target="../media/image16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</xdr:colOff>
          <xdr:row>1</xdr:row>
          <xdr:rowOff>85725</xdr:rowOff>
        </xdr:from>
        <xdr:to>
          <xdr:col>3</xdr:col>
          <xdr:colOff>0</xdr:colOff>
          <xdr:row>1</xdr:row>
          <xdr:rowOff>266700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Done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19050</xdr:colOff>
          <xdr:row>1</xdr:row>
          <xdr:rowOff>57150</xdr:rowOff>
        </xdr:from>
        <xdr:to>
          <xdr:col>6</xdr:col>
          <xdr:colOff>0</xdr:colOff>
          <xdr:row>1</xdr:row>
          <xdr:rowOff>238125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Done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47625</xdr:colOff>
          <xdr:row>0</xdr:row>
          <xdr:rowOff>95250</xdr:rowOff>
        </xdr:from>
        <xdr:to>
          <xdr:col>7</xdr:col>
          <xdr:colOff>581025</xdr:colOff>
          <xdr:row>0</xdr:row>
          <xdr:rowOff>276225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47625</xdr:colOff>
          <xdr:row>1</xdr:row>
          <xdr:rowOff>9525</xdr:rowOff>
        </xdr:from>
        <xdr:to>
          <xdr:col>7</xdr:col>
          <xdr:colOff>581025</xdr:colOff>
          <xdr:row>1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Email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38100</xdr:colOff>
          <xdr:row>0</xdr:row>
          <xdr:rowOff>76200</xdr:rowOff>
        </xdr:from>
        <xdr:to>
          <xdr:col>9</xdr:col>
          <xdr:colOff>571500</xdr:colOff>
          <xdr:row>0</xdr:row>
          <xdr:rowOff>257175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Comments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38100</xdr:colOff>
          <xdr:row>1</xdr:row>
          <xdr:rowOff>19050</xdr:rowOff>
        </xdr:from>
        <xdr:to>
          <xdr:col>9</xdr:col>
          <xdr:colOff>571500</xdr:colOff>
          <xdr:row>1</xdr:row>
          <xdr:rowOff>200025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Fabrication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38100</xdr:colOff>
          <xdr:row>0</xdr:row>
          <xdr:rowOff>76200</xdr:rowOff>
        </xdr:from>
        <xdr:to>
          <xdr:col>11</xdr:col>
          <xdr:colOff>571500</xdr:colOff>
          <xdr:row>0</xdr:row>
          <xdr:rowOff>257175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Schedule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183442</xdr:colOff>
      <xdr:row>27</xdr:row>
      <xdr:rowOff>328763</xdr:rowOff>
    </xdr:from>
    <xdr:to>
      <xdr:col>4</xdr:col>
      <xdr:colOff>190282</xdr:colOff>
      <xdr:row>27</xdr:row>
      <xdr:rowOff>341805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3F3C4200-87BA-BD52-443B-B2590D2BAAA8}"/>
                </a:ext>
              </a:extLst>
            </xdr14:cNvPr>
            <xdr14:cNvContentPartPr/>
          </xdr14:nvContentPartPr>
          <xdr14:nvPr macro=""/>
          <xdr14:xfrm>
            <a:off x="3912480" y="9748988"/>
            <a:ext cx="6840" cy="828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3F3C4200-87BA-BD52-443B-B2590D2BAAA8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3908160" y="9744668"/>
              <a:ext cx="15480" cy="16920"/>
            </a:xfrm>
            <a:prstGeom prst="rect">
              <a:avLst/>
            </a:prstGeom>
          </xdr:spPr>
        </xdr:pic>
      </mc:Fallback>
    </mc:AlternateContent>
    <xdr:clientData/>
  </xdr:twoCellAnchor>
  <xdr:oneCellAnchor>
    <xdr:from>
      <xdr:col>4</xdr:col>
      <xdr:colOff>183442</xdr:colOff>
      <xdr:row>18</xdr:row>
      <xdr:rowOff>328763</xdr:rowOff>
    </xdr:from>
    <xdr:ext cx="6840" cy="82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10FF04BD-1C82-41AE-8690-4B3DE3D3B3DA}"/>
                </a:ext>
              </a:extLst>
            </xdr14:cNvPr>
            <xdr14:cNvContentPartPr/>
          </xdr14:nvContentPartPr>
          <xdr14:nvPr macro=""/>
          <xdr14:xfrm>
            <a:off x="3912480" y="9748988"/>
            <a:ext cx="6840" cy="828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3F3C4200-87BA-BD52-443B-B2590D2BAAA8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3908160" y="9744668"/>
              <a:ext cx="15480" cy="16920"/>
            </a:xfrm>
            <a:prstGeom prst="rect">
              <a:avLst/>
            </a:prstGeom>
          </xdr:spPr>
        </xdr:pic>
      </mc:Fallback>
    </mc:AlternateContent>
    <xdr:clientData/>
  </xdr:oneCellAnchor>
  <xdr:twoCellAnchor editAs="oneCell">
    <xdr:from>
      <xdr:col>8</xdr:col>
      <xdr:colOff>239873</xdr:colOff>
      <xdr:row>7</xdr:row>
      <xdr:rowOff>356385</xdr:rowOff>
    </xdr:from>
    <xdr:to>
      <xdr:col>8</xdr:col>
      <xdr:colOff>256155</xdr:colOff>
      <xdr:row>7</xdr:row>
      <xdr:rowOff>370867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AFA546C-4525-F06A-E366-3685E56365DB}"/>
                </a:ext>
              </a:extLst>
            </xdr14:cNvPr>
            <xdr14:cNvContentPartPr/>
          </xdr14:nvContentPartPr>
          <xdr14:nvPr macro=""/>
          <xdr14:xfrm>
            <a:off x="8517098" y="3204360"/>
            <a:ext cx="11520" cy="972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0AFA546C-4525-F06A-E366-3685E56365DB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8512778" y="3200040"/>
              <a:ext cx="20160" cy="18360"/>
            </a:xfrm>
            <a:prstGeom prst="rect">
              <a:avLst/>
            </a:prstGeom>
          </xdr:spPr>
        </xdr:pic>
      </mc:Fallback>
    </mc:AlternateContent>
    <xdr:clientData/>
  </xdr:twoCellAnchor>
  <xdr:oneCellAnchor>
    <xdr:from>
      <xdr:col>4</xdr:col>
      <xdr:colOff>183442</xdr:colOff>
      <xdr:row>28</xdr:row>
      <xdr:rowOff>328763</xdr:rowOff>
    </xdr:from>
    <xdr:ext cx="6840" cy="13042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80208257-C70A-4BF4-AA05-64EDA59F083F}"/>
                </a:ext>
              </a:extLst>
            </xdr14:cNvPr>
            <xdr14:cNvContentPartPr/>
          </xdr14:nvContentPartPr>
          <xdr14:nvPr macro=""/>
          <xdr14:xfrm>
            <a:off x="3912480" y="9748988"/>
            <a:ext cx="6840" cy="828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3F3C4200-87BA-BD52-443B-B2590D2BAAA8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3908160" y="9744668"/>
              <a:ext cx="15480" cy="1692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4</xdr:col>
      <xdr:colOff>183442</xdr:colOff>
      <xdr:row>7</xdr:row>
      <xdr:rowOff>328763</xdr:rowOff>
    </xdr:from>
    <xdr:ext cx="6840" cy="13042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4290BC74-C24E-4192-A4DF-CD0EDAE0AA0F}"/>
                </a:ext>
              </a:extLst>
            </xdr14:cNvPr>
            <xdr14:cNvContentPartPr/>
          </xdr14:nvContentPartPr>
          <xdr14:nvPr macro=""/>
          <xdr14:xfrm>
            <a:off x="3912480" y="9748988"/>
            <a:ext cx="6840" cy="828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3F3C4200-87BA-BD52-443B-B2590D2BAAA8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3908160" y="9744668"/>
              <a:ext cx="15480" cy="16920"/>
            </a:xfrm>
            <a:prstGeom prst="rect">
              <a:avLst/>
            </a:prstGeom>
          </xdr:spPr>
        </xdr:pic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</xdr:colOff>
          <xdr:row>1</xdr:row>
          <xdr:rowOff>85725</xdr:rowOff>
        </xdr:from>
        <xdr:to>
          <xdr:col>3</xdr:col>
          <xdr:colOff>0</xdr:colOff>
          <xdr:row>1</xdr:row>
          <xdr:rowOff>266700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Done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19050</xdr:colOff>
          <xdr:row>1</xdr:row>
          <xdr:rowOff>57150</xdr:rowOff>
        </xdr:from>
        <xdr:to>
          <xdr:col>6</xdr:col>
          <xdr:colOff>0</xdr:colOff>
          <xdr:row>1</xdr:row>
          <xdr:rowOff>238125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Done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9525</xdr:colOff>
          <xdr:row>2</xdr:row>
          <xdr:rowOff>314325</xdr:rowOff>
        </xdr:from>
        <xdr:to>
          <xdr:col>8</xdr:col>
          <xdr:colOff>542925</xdr:colOff>
          <xdr:row>3</xdr:row>
          <xdr:rowOff>57150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Wrap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301151</xdr:colOff>
      <xdr:row>16</xdr:row>
      <xdr:rowOff>160241</xdr:rowOff>
    </xdr:from>
    <xdr:to>
      <xdr:col>5</xdr:col>
      <xdr:colOff>302951</xdr:colOff>
      <xdr:row>16</xdr:row>
      <xdr:rowOff>164561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13863675-9046-433A-AC0E-D6A92D29F410}"/>
                </a:ext>
              </a:extLst>
            </xdr14:cNvPr>
            <xdr14:cNvContentPartPr/>
          </xdr14:nvContentPartPr>
          <xdr14:nvPr macro=""/>
          <xdr14:xfrm>
            <a:off x="6769080" y="817920"/>
            <a:ext cx="1800" cy="432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41D0A537-1506-E709-6153-7FA47C02332B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6762960" y="811800"/>
              <a:ext cx="14040" cy="16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301151</xdr:colOff>
      <xdr:row>9</xdr:row>
      <xdr:rowOff>160241</xdr:rowOff>
    </xdr:from>
    <xdr:to>
      <xdr:col>5</xdr:col>
      <xdr:colOff>302951</xdr:colOff>
      <xdr:row>9</xdr:row>
      <xdr:rowOff>164561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C85BD28A-D82B-47DD-9E75-405D17522512}"/>
                </a:ext>
              </a:extLst>
            </xdr14:cNvPr>
            <xdr14:cNvContentPartPr/>
          </xdr14:nvContentPartPr>
          <xdr14:nvPr macro=""/>
          <xdr14:xfrm>
            <a:off x="6769080" y="817920"/>
            <a:ext cx="1800" cy="432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41D0A537-1506-E709-6153-7FA47C02332B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6762960" y="811800"/>
              <a:ext cx="14040" cy="16560"/>
            </a:xfrm>
            <a:prstGeom prst="rect">
              <a:avLst/>
            </a:prstGeom>
          </xdr:spPr>
        </xdr:pic>
      </mc:Fallback>
    </mc:AlternateContent>
    <xdr:clientData/>
  </xdr:twoCellAnchor>
  <xdr:oneCellAnchor>
    <xdr:from>
      <xdr:col>5</xdr:col>
      <xdr:colOff>301151</xdr:colOff>
      <xdr:row>17</xdr:row>
      <xdr:rowOff>160241</xdr:rowOff>
    </xdr:from>
    <xdr:ext cx="1800" cy="432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6" name="Ink 3">
              <a:extLst>
                <a:ext uri="{FF2B5EF4-FFF2-40B4-BE49-F238E27FC236}">
                  <a16:creationId xmlns:a16="http://schemas.microsoft.com/office/drawing/2014/main" id="{9C62EF70-9E79-4E12-90C6-4E69CC86884B}"/>
                </a:ext>
              </a:extLst>
            </xdr14:cNvPr>
            <xdr14:cNvContentPartPr/>
          </xdr14:nvContentPartPr>
          <xdr14:nvPr macro=""/>
          <xdr14:xfrm>
            <a:off x="6769080" y="817920"/>
            <a:ext cx="1800" cy="432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41D0A537-1506-E709-6153-7FA47C02332B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6762960" y="811800"/>
              <a:ext cx="14040" cy="1656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5</xdr:col>
      <xdr:colOff>301151</xdr:colOff>
      <xdr:row>18</xdr:row>
      <xdr:rowOff>160241</xdr:rowOff>
    </xdr:from>
    <xdr:ext cx="1800" cy="432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F7FC79D7-E5A7-4DC4-8184-3990A8C0F134}"/>
                </a:ext>
              </a:extLst>
            </xdr14:cNvPr>
            <xdr14:cNvContentPartPr/>
          </xdr14:nvContentPartPr>
          <xdr14:nvPr macro=""/>
          <xdr14:xfrm>
            <a:off x="6769080" y="817920"/>
            <a:ext cx="1800" cy="432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41D0A537-1506-E709-6153-7FA47C02332B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6762960" y="811800"/>
              <a:ext cx="14040" cy="1656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5</xdr:col>
      <xdr:colOff>301151</xdr:colOff>
      <xdr:row>19</xdr:row>
      <xdr:rowOff>160241</xdr:rowOff>
    </xdr:from>
    <xdr:ext cx="1800" cy="432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7" name="Ink 5">
              <a:extLst>
                <a:ext uri="{FF2B5EF4-FFF2-40B4-BE49-F238E27FC236}">
                  <a16:creationId xmlns:a16="http://schemas.microsoft.com/office/drawing/2014/main" id="{99F599FA-B73F-4C61-8F7B-98B180B9E92B}"/>
                </a:ext>
              </a:extLst>
            </xdr14:cNvPr>
            <xdr14:cNvContentPartPr/>
          </xdr14:nvContentPartPr>
          <xdr14:nvPr macro=""/>
          <xdr14:xfrm>
            <a:off x="6769080" y="817920"/>
            <a:ext cx="1800" cy="432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41D0A537-1506-E709-6153-7FA47C02332B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6762960" y="811800"/>
              <a:ext cx="14040" cy="1656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5</xdr:col>
      <xdr:colOff>301151</xdr:colOff>
      <xdr:row>20</xdr:row>
      <xdr:rowOff>160241</xdr:rowOff>
    </xdr:from>
    <xdr:ext cx="1800" cy="432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9" name="Ink 6">
              <a:extLst>
                <a:ext uri="{FF2B5EF4-FFF2-40B4-BE49-F238E27FC236}">
                  <a16:creationId xmlns:a16="http://schemas.microsoft.com/office/drawing/2014/main" id="{FA6C5CFF-DD4C-4541-A788-7883C5F13D7B}"/>
                </a:ext>
              </a:extLst>
            </xdr14:cNvPr>
            <xdr14:cNvContentPartPr/>
          </xdr14:nvContentPartPr>
          <xdr14:nvPr macro=""/>
          <xdr14:xfrm>
            <a:off x="6769080" y="817920"/>
            <a:ext cx="1800" cy="432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41D0A537-1506-E709-6153-7FA47C02332B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6762960" y="811800"/>
              <a:ext cx="14040" cy="1656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5</xdr:col>
      <xdr:colOff>301151</xdr:colOff>
      <xdr:row>21</xdr:row>
      <xdr:rowOff>160241</xdr:rowOff>
    </xdr:from>
    <xdr:ext cx="1800" cy="432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11" name="Ink 7">
              <a:extLst>
                <a:ext uri="{FF2B5EF4-FFF2-40B4-BE49-F238E27FC236}">
                  <a16:creationId xmlns:a16="http://schemas.microsoft.com/office/drawing/2014/main" id="{6D086E1A-E611-448B-A09C-F785FA67FF0F}"/>
                </a:ext>
              </a:extLst>
            </xdr14:cNvPr>
            <xdr14:cNvContentPartPr/>
          </xdr14:nvContentPartPr>
          <xdr14:nvPr macro=""/>
          <xdr14:xfrm>
            <a:off x="6769080" y="817920"/>
            <a:ext cx="1800" cy="432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41D0A537-1506-E709-6153-7FA47C02332B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6762960" y="811800"/>
              <a:ext cx="14040" cy="1656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5</xdr:col>
      <xdr:colOff>301151</xdr:colOff>
      <xdr:row>22</xdr:row>
      <xdr:rowOff>160241</xdr:rowOff>
    </xdr:from>
    <xdr:ext cx="1800" cy="432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13" name="Ink 8">
              <a:extLst>
                <a:ext uri="{FF2B5EF4-FFF2-40B4-BE49-F238E27FC236}">
                  <a16:creationId xmlns:a16="http://schemas.microsoft.com/office/drawing/2014/main" id="{78BB0688-6177-453D-B2DD-AA654FA41B2F}"/>
                </a:ext>
              </a:extLst>
            </xdr14:cNvPr>
            <xdr14:cNvContentPartPr/>
          </xdr14:nvContentPartPr>
          <xdr14:nvPr macro=""/>
          <xdr14:xfrm>
            <a:off x="6769080" y="817920"/>
            <a:ext cx="1800" cy="432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41D0A537-1506-E709-6153-7FA47C02332B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6762960" y="811800"/>
              <a:ext cx="14040" cy="1656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5</xdr:col>
      <xdr:colOff>301151</xdr:colOff>
      <xdr:row>23</xdr:row>
      <xdr:rowOff>160241</xdr:rowOff>
    </xdr:from>
    <xdr:ext cx="1800" cy="432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5" name="Ink 9">
              <a:extLst>
                <a:ext uri="{FF2B5EF4-FFF2-40B4-BE49-F238E27FC236}">
                  <a16:creationId xmlns:a16="http://schemas.microsoft.com/office/drawing/2014/main" id="{E4880305-81E3-49BD-9172-1018CB3FC5A3}"/>
                </a:ext>
              </a:extLst>
            </xdr14:cNvPr>
            <xdr14:cNvContentPartPr/>
          </xdr14:nvContentPartPr>
          <xdr14:nvPr macro=""/>
          <xdr14:xfrm>
            <a:off x="6769080" y="817920"/>
            <a:ext cx="1800" cy="432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41D0A537-1506-E709-6153-7FA47C02332B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6762960" y="811800"/>
              <a:ext cx="14040" cy="16560"/>
            </a:xfrm>
            <a:prstGeom prst="rect">
              <a:avLst/>
            </a:prstGeom>
          </xdr:spPr>
        </xdr:pic>
      </mc:Fallback>
    </mc:AlternateContent>
    <xdr:clientData/>
  </xdr:one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1-13T10:52:40.023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2 23 14279 0 0,'0'-4'1272'0'0,"-2"-1"-1016"0"0,2 3 536 0 0,2 0-376 0 0,-2 1 0 0 0,3-3-416 0 0,-1 1-160 0 0,4 1 0 0 0,-1 2-6704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2-18T17:45:53.036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2 23 14279 0 0,'0'-4'1272'0'0,"-2"-1"-1016"0"0,2 3 536 0 0,2 0-376 0 0,-2 1 0 0 0,3-3-416 0 0,-1 1-160 0 0,4 1 0 0 0,-1 2-6704 0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3-16T10:48:50.545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31 26 21191 0 0,'-20'-15'1888'0'0,"9"5"-1512"0"0,11 9-304 0 0,10 8-6336 0 0,-2 0-1264 0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4-09T17:14:15.469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2 23 14279 0 0,'0'-4'1272'0'0,"-2"-1"-1016"0"0,2 3 536 0 0,2 0-376 0 0,-2 1 0 0 0,3-3-416 0 0,-1 1-160 0 0,4 1 0 0 0,-1 2-6704 0 0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4-09T17:14:16.375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2 23 14279 0 0,'0'-4'1272'0'0,"-2"-1"-1016"0"0,2 3 536 0 0,2 0-376 0 0,-2 1 0 0 0,3-3-416 0 0,-1 1-160 0 0,4 1 0 0 0,-1 2-6704 0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5-09-04T11:56:40.259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5 1 223 0 0,'-3'3'0'0'0,"2"0"0"0"0,1 0 0 0 0,4-2 0 0 0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5-09-05T18:09:51.948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5 1 223 0 0,'-3'3'0'0'0,"2"0"0"0"0,1 0 0 0 0,4-2 0 0 0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5-09-23T10:04:16.681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5 1 223 0 0,'-3'3'0'0'0,"2"0"0"0"0,1 0 0 0 0,4-2 0 0 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5-09-25T14:18:04.976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5 1 223 0 0,'-3'3'0'0'0,"2"0"0"0"0,1 0 0 0 0,4-2 0 0 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5-09-25T14:18:04.985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5 1 223 0 0,'-3'3'0'0'0,"2"0"0"0"0,1 0 0 0 0,4-2 0 0 0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5-09-25T14:18:04.993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5 1 223 0 0,'-3'3'0'0'0,"2"0"0"0"0,1 0 0 0 0,4-2 0 0 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5-09-25T14:18:05.002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5 1 223 0 0,'-3'3'0'0'0,"2"0"0"0"0,1 0 0 0 0,4-2 0 0 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5-09-25T14:18:05.010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5 1 223 0 0,'-3'3'0'0'0,"2"0"0"0"0,1 0 0 0 0,4-2 0 0 0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5-09-25T14:18:05.020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5 1 223 0 0,'-3'3'0'0'0,"2"0"0"0"0,1 0 0 0 0,4-2 0 0 0</inkml:trace>
</inkml:ink>
</file>

<file path=xl/persons/person.xml><?xml version="1.0" encoding="utf-8"?>
<personList xmlns="http://schemas.microsoft.com/office/spreadsheetml/2018/threadedcomments" xmlns:x="http://schemas.openxmlformats.org/spreadsheetml/2006/main">
  <person displayName="William Hopper" id="{3EB0697D-4885-4E7E-B513-D9B315B847A8}" userId="William Hopper" providerId="None"/>
  <person displayName="Steve aghabekian" id="{450D43DE-C672-44E2-816B-DB96EB2A1839}" userId="Steve aghabekian" providerId="None"/>
  <person displayName="Steve Aghabekian" id="{0ACF62C4-5B18-4E3F-9268-AA1D82FFA9A0}" userId="S-1-5-21-93394968-3104296380-3887653319-1163" providerId="AD"/>
  <person displayName="William Hopper" id="{704EBB24-A267-403C-ACFE-BC364D972B11}" userId="S::whopper@arcticomgroup.com::c051d798-fde8-44b6-9bba-f32ace014d9a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1" dT="2026-01-29T11:14:15.58" personId="{0ACF62C4-5B18-4E3F-9268-AA1D82FFA9A0}" id="{DEC0CEAC-E4F7-46F9-9956-A6AAA3CF9757}">
    <text xml:space="preserve"> Will,
         Are these on Hold?</text>
  </threadedComment>
  <threadedComment ref="B13" dT="2026-02-26T11:17:50.91" personId="{0ACF62C4-5B18-4E3F-9268-AA1D82FFA9A0}" id="{8B3B4AA1-E244-409D-9C2E-A7F23D8D9253}">
    <text xml:space="preserve">still need to finish aluminum when it comes in Hold waiting for answers </text>
  </threadedComment>
  <threadedComment ref="E18" dT="2026-03-17T23:04:08.79" personId="{450D43DE-C672-44E2-816B-DB96EB2A1839}" id="{E4B24C67-2109-45EE-A306-599F82B09D33}">
    <text xml:space="preserve">Please re ticket with switching to Duct-Mate connection </text>
  </threadedComment>
  <threadedComment ref="E18" dT="2026-03-18T03:35:01.70" personId="{3EB0697D-4885-4E7E-B513-D9B315B847A8}" id="{E4D695B7-1647-4255-9A9E-3B49C236B2ED}" parentId="{E4B24C67-2109-45EE-A306-599F82B09D33}">
    <text>Re-Ticketed all part and switched any tdx to DM.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10" dT="2026-03-17T23:04:08.79" personId="{450D43DE-C672-44E2-816B-DB96EB2A1839}" id="{AE32BF4E-5008-4030-82F7-7A58467AAFB4}">
    <text xml:space="preserve">Please re ticket with switching to Duct-Mate connection </text>
  </threadedComment>
  <threadedComment ref="B10" dT="2026-03-18T03:35:01.70" personId="{3EB0697D-4885-4E7E-B513-D9B315B847A8}" id="{C76E6477-A86B-4045-85A8-E17B45C679BB}" parentId="{AE32BF4E-5008-4030-82F7-7A58467AAFB4}">
    <text>Re-Ticketed all part and switched any tdx to DM.</text>
  </threadedComment>
  <threadedComment ref="E27" dT="2025-10-03T11:15:35.85" personId="{704EBB24-A267-403C-ACFE-BC364D972B11}" id="{A2B4FD37-4A95-4AF7-9D9E-0A398FE4223A}">
    <text>James called an asked to have the swivel elbows on this floor remade as gored elbows.</text>
  </threadedComment>
  <threadedComment ref="E27" dT="2025-10-03T15:45:40.77" personId="{704EBB24-A267-403C-ACFE-BC364D972B11}" id="{253CCA7E-957C-415D-BF67-110610407750}" parentId="{A2B4FD37-4A95-4AF7-9D9E-0A398FE4223A}">
    <text>These all have to be redrawn.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13" Type="http://schemas.openxmlformats.org/officeDocument/2006/relationships/ctrlProp" Target="../ctrlProps/ctrlProp5.xml"/><Relationship Id="rId3" Type="http://schemas.openxmlformats.org/officeDocument/2006/relationships/hyperlink" Target="Ticket%20emails/2026-05-05/2026-05-05_221731_Manuel%20Murray_23-242.msg" TargetMode="External"/><Relationship Id="rId7" Type="http://schemas.openxmlformats.org/officeDocument/2006/relationships/drawing" Target="../drawings/drawing2.xml"/><Relationship Id="rId12" Type="http://schemas.openxmlformats.org/officeDocument/2006/relationships/ctrlProp" Target="../ctrlProps/ctrlProp4.xml"/><Relationship Id="rId17" Type="http://schemas.microsoft.com/office/2017/10/relationships/threadedComment" Target="../threadedComments/threadedComment1.xml"/><Relationship Id="rId2" Type="http://schemas.openxmlformats.org/officeDocument/2006/relationships/hyperlink" Target="Ticket%20emails/2026-05-05/2026-05-05_102420_Mark%20Sciortino_24-108%20Evander%20Pool.msg" TargetMode="External"/><Relationship Id="rId16" Type="http://schemas.openxmlformats.org/officeDocument/2006/relationships/comments" Target="../comments1.xml"/><Relationship Id="rId1" Type="http://schemas.openxmlformats.org/officeDocument/2006/relationships/hyperlink" Target="Ticket%20emails/2026-05-05/2026-05-05_095446_Jorge%20Tesis_Job%20258.msg" TargetMode="External"/><Relationship Id="rId6" Type="http://schemas.openxmlformats.org/officeDocument/2006/relationships/printerSettings" Target="../printerSettings/printerSettings2.bin"/><Relationship Id="rId11" Type="http://schemas.openxmlformats.org/officeDocument/2006/relationships/ctrlProp" Target="../ctrlProps/ctrlProp3.xml"/><Relationship Id="rId5" Type="http://schemas.openxmlformats.org/officeDocument/2006/relationships/hyperlink" Target="Ticket%20emails/2026-04-30/2026-04-30_231836_Manuel%20Murray_23-242.msg" TargetMode="External"/><Relationship Id="rId15" Type="http://schemas.openxmlformats.org/officeDocument/2006/relationships/ctrlProp" Target="../ctrlProps/ctrlProp7.xml"/><Relationship Id="rId10" Type="http://schemas.openxmlformats.org/officeDocument/2006/relationships/ctrlProp" Target="../ctrlProps/ctrlProp2.xml"/><Relationship Id="rId4" Type="http://schemas.openxmlformats.org/officeDocument/2006/relationships/hyperlink" Target="Ticket%20emails/2026-05-06/2026-05-06_044042_Keon%20Paul_Job%20@%20248%20PS%20140.msg" TargetMode="External"/><Relationship Id="rId9" Type="http://schemas.openxmlformats.org/officeDocument/2006/relationships/ctrlProp" Target="../ctrlProps/ctrlProp1.xml"/><Relationship Id="rId14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Ticket%20emails/2026-03-17/2026-03-17_124443_Charlie%20Carapazza_25-051%20extra.msg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Ticket%20emails/2026-03-05/2026-03-05_224055_Nedim%20Ismaili_24-107%20IS%20162.msg" TargetMode="External"/><Relationship Id="rId1" Type="http://schemas.openxmlformats.org/officeDocument/2006/relationships/hyperlink" Target="Ticket%20emails\2026-02-27\2026-02-27_073048_Frank%20Camastro_24-284T.msg" TargetMode="External"/><Relationship Id="rId6" Type="http://schemas.openxmlformats.org/officeDocument/2006/relationships/vmlDrawing" Target="../drawings/vmlDrawing2.vml"/><Relationship Id="rId11" Type="http://schemas.microsoft.com/office/2017/10/relationships/threadedComment" Target="../threadedComments/threadedComment2.xml"/><Relationship Id="rId5" Type="http://schemas.openxmlformats.org/officeDocument/2006/relationships/drawing" Target="../drawings/drawing3.xml"/><Relationship Id="rId10" Type="http://schemas.openxmlformats.org/officeDocument/2006/relationships/comments" Target="../comments2.xml"/><Relationship Id="rId4" Type="http://schemas.openxmlformats.org/officeDocument/2006/relationships/printerSettings" Target="../printerSettings/printerSettings3.bin"/><Relationship Id="rId9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T55"/>
  <sheetViews>
    <sheetView tabSelected="1" zoomScaleNormal="100" zoomScaleSheetLayoutView="100" workbookViewId="0">
      <selection activeCell="I10" sqref="I10"/>
    </sheetView>
  </sheetViews>
  <sheetFormatPr defaultRowHeight="21" x14ac:dyDescent="0.35"/>
  <cols>
    <col min="1" max="1" width="3.42578125" customWidth="1"/>
    <col min="2" max="2" width="38.28515625" style="3" customWidth="1"/>
    <col min="3" max="3" width="7.140625" style="3" customWidth="1"/>
    <col min="4" max="4" width="3.42578125" customWidth="1"/>
    <col min="5" max="5" width="38.28515625" customWidth="1"/>
    <col min="6" max="6" width="7.140625" style="18" customWidth="1"/>
    <col min="7" max="11" width="9.140625" style="22"/>
    <col min="12" max="12" width="9.140625" style="22" customWidth="1"/>
    <col min="13" max="13" width="8.28515625" style="22" hidden="1" customWidth="1"/>
    <col min="14" max="14" width="9.140625" style="22"/>
    <col min="15" max="15" width="9.140625" style="22" customWidth="1"/>
    <col min="16" max="124" width="9.140625" style="22"/>
  </cols>
  <sheetData>
    <row r="1" spans="1:124" s="1" customFormat="1" ht="30" customHeight="1" thickBot="1" x14ac:dyDescent="0.3">
      <c r="A1" s="36"/>
      <c r="B1" s="106" t="s">
        <v>0</v>
      </c>
      <c r="C1" s="107"/>
      <c r="D1" s="108">
        <v>46148</v>
      </c>
      <c r="E1" s="109"/>
      <c r="F1" s="110"/>
      <c r="G1" s="19"/>
      <c r="H1" s="20"/>
      <c r="I1" s="20"/>
      <c r="J1" s="19"/>
      <c r="K1" s="19"/>
      <c r="L1" s="19"/>
      <c r="M1" s="21">
        <f ca="1">TODAY()</f>
        <v>46148</v>
      </c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  <c r="BJ1" s="19"/>
      <c r="BK1" s="19"/>
      <c r="BL1" s="19"/>
      <c r="BM1" s="19"/>
      <c r="BN1" s="19"/>
      <c r="BO1" s="19"/>
      <c r="BP1" s="19"/>
      <c r="BQ1" s="19"/>
      <c r="BR1" s="19"/>
      <c r="BS1" s="19"/>
      <c r="BT1" s="19"/>
      <c r="BU1" s="19"/>
      <c r="BV1" s="19"/>
      <c r="BW1" s="19"/>
      <c r="BX1" s="19"/>
      <c r="BY1" s="19"/>
      <c r="BZ1" s="19"/>
      <c r="CA1" s="19"/>
      <c r="CB1" s="19"/>
      <c r="CC1" s="19"/>
      <c r="CD1" s="19"/>
      <c r="CE1" s="19"/>
      <c r="CF1" s="19"/>
      <c r="CG1" s="19"/>
      <c r="CH1" s="19"/>
      <c r="CI1" s="19"/>
      <c r="CJ1" s="19"/>
      <c r="CK1" s="19"/>
      <c r="CL1" s="19"/>
      <c r="CM1" s="19"/>
      <c r="CN1" s="19"/>
      <c r="CO1" s="19"/>
      <c r="CP1" s="19"/>
      <c r="CQ1" s="19"/>
      <c r="CR1" s="19"/>
      <c r="CS1" s="19"/>
      <c r="CT1" s="19"/>
      <c r="CU1" s="19"/>
      <c r="CV1" s="19"/>
      <c r="CW1" s="19"/>
      <c r="CX1" s="19"/>
      <c r="CY1" s="19"/>
      <c r="CZ1" s="19"/>
      <c r="DA1" s="19"/>
      <c r="DB1" s="19"/>
      <c r="DC1" s="19"/>
      <c r="DD1" s="19"/>
      <c r="DE1" s="19"/>
      <c r="DF1" s="19"/>
      <c r="DG1" s="19"/>
      <c r="DH1" s="19"/>
      <c r="DI1" s="19"/>
      <c r="DJ1" s="19"/>
      <c r="DK1" s="19"/>
      <c r="DL1" s="19"/>
      <c r="DM1" s="19"/>
      <c r="DN1" s="19"/>
      <c r="DO1" s="19"/>
      <c r="DP1" s="19"/>
      <c r="DQ1" s="19"/>
      <c r="DR1" s="19"/>
      <c r="DS1" s="19"/>
      <c r="DT1" s="19"/>
    </row>
    <row r="2" spans="1:124" ht="21.75" customHeight="1" thickTop="1" x14ac:dyDescent="0.25">
      <c r="A2" s="37"/>
      <c r="B2" s="56" t="s">
        <v>1</v>
      </c>
      <c r="C2" s="6" t="s">
        <v>3</v>
      </c>
      <c r="D2" s="2"/>
      <c r="E2" s="59" t="s">
        <v>2</v>
      </c>
      <c r="F2" s="38"/>
      <c r="H2" s="23"/>
      <c r="I2" s="23"/>
      <c r="J2" s="23"/>
      <c r="K2" s="23"/>
      <c r="M2" s="21" t="str">
        <f ca="1">IF(D1&lt;&gt;M1,"No","Yes")</f>
        <v>Yes</v>
      </c>
    </row>
    <row r="3" spans="1:124" ht="34.5" customHeight="1" x14ac:dyDescent="0.35">
      <c r="A3" s="39">
        <v>1</v>
      </c>
      <c r="B3" t="s">
        <v>31</v>
      </c>
      <c r="C3" s="86"/>
      <c r="D3" s="7">
        <v>1</v>
      </c>
      <c r="E3" s="104" t="s">
        <v>35</v>
      </c>
      <c r="F3" s="43">
        <v>1</v>
      </c>
      <c r="H3" s="23"/>
      <c r="I3" s="24"/>
      <c r="J3" s="4"/>
      <c r="K3" s="62"/>
    </row>
    <row r="4" spans="1:124" ht="34.5" customHeight="1" x14ac:dyDescent="0.35">
      <c r="A4" s="41">
        <v>2</v>
      </c>
      <c r="C4" s="86"/>
      <c r="D4" s="8">
        <v>2</v>
      </c>
      <c r="E4" s="65" t="s">
        <v>33</v>
      </c>
      <c r="F4" s="103">
        <v>2</v>
      </c>
      <c r="G4" s="22" t="s">
        <v>28</v>
      </c>
    </row>
    <row r="5" spans="1:124" ht="34.5" customHeight="1" x14ac:dyDescent="0.35">
      <c r="A5" s="41">
        <v>3</v>
      </c>
      <c r="C5" s="86"/>
      <c r="D5" s="8">
        <v>3</v>
      </c>
      <c r="E5" s="65" t="s">
        <v>39</v>
      </c>
      <c r="F5" s="45">
        <v>3</v>
      </c>
      <c r="H5" s="23"/>
      <c r="J5" s="4"/>
    </row>
    <row r="6" spans="1:124" ht="34.5" customHeight="1" x14ac:dyDescent="0.35">
      <c r="A6" s="41">
        <v>4</v>
      </c>
      <c r="B6"/>
      <c r="C6" s="86"/>
      <c r="D6" s="8">
        <v>4</v>
      </c>
      <c r="E6" s="65" t="s">
        <v>36</v>
      </c>
      <c r="F6" s="45">
        <v>4</v>
      </c>
      <c r="I6" s="24"/>
      <c r="J6" s="25"/>
    </row>
    <row r="7" spans="1:124" ht="34.5" customHeight="1" x14ac:dyDescent="0.35">
      <c r="A7" s="41">
        <v>5</v>
      </c>
      <c r="B7"/>
      <c r="C7" s="86"/>
      <c r="D7" s="57">
        <v>5</v>
      </c>
      <c r="E7" s="65" t="s">
        <v>38</v>
      </c>
      <c r="F7" s="43">
        <v>5</v>
      </c>
      <c r="J7" s="4"/>
    </row>
    <row r="8" spans="1:124" ht="34.5" customHeight="1" x14ac:dyDescent="0.35">
      <c r="A8" s="41">
        <v>6</v>
      </c>
      <c r="B8"/>
      <c r="C8" s="86"/>
      <c r="D8" s="57">
        <v>6</v>
      </c>
      <c r="E8" t="s">
        <v>34</v>
      </c>
      <c r="F8" s="43">
        <v>6</v>
      </c>
      <c r="H8" s="23"/>
      <c r="I8" s="24"/>
    </row>
    <row r="9" spans="1:124" ht="34.5" customHeight="1" x14ac:dyDescent="0.35">
      <c r="A9" s="41">
        <v>7</v>
      </c>
      <c r="C9" s="86"/>
      <c r="D9" s="57">
        <v>7</v>
      </c>
      <c r="E9" s="60" t="s">
        <v>4</v>
      </c>
      <c r="F9" s="88">
        <v>7</v>
      </c>
      <c r="G9" s="26"/>
      <c r="H9" s="26"/>
      <c r="I9" s="24"/>
      <c r="J9" s="5"/>
    </row>
    <row r="10" spans="1:124" ht="34.5" customHeight="1" x14ac:dyDescent="0.35">
      <c r="A10" s="41">
        <v>8</v>
      </c>
      <c r="B10" s="87" t="s">
        <v>8</v>
      </c>
      <c r="C10" s="86"/>
      <c r="D10" s="57">
        <v>8</v>
      </c>
      <c r="E10" t="s">
        <v>32</v>
      </c>
      <c r="F10" s="88">
        <v>8</v>
      </c>
      <c r="H10" s="26"/>
      <c r="I10" s="24"/>
      <c r="J10" s="5"/>
    </row>
    <row r="11" spans="1:124" ht="34.5" customHeight="1" x14ac:dyDescent="0.35">
      <c r="A11" s="41">
        <v>9</v>
      </c>
      <c r="B11" t="s">
        <v>6</v>
      </c>
      <c r="D11" s="58">
        <v>9</v>
      </c>
      <c r="E11" t="s">
        <v>29</v>
      </c>
      <c r="F11" s="43">
        <v>9</v>
      </c>
      <c r="H11" s="23"/>
      <c r="I11" s="24"/>
      <c r="J11" s="5"/>
    </row>
    <row r="12" spans="1:124" ht="34.5" customHeight="1" x14ac:dyDescent="0.35">
      <c r="A12" s="41">
        <v>10</v>
      </c>
      <c r="B12" t="s">
        <v>7</v>
      </c>
      <c r="D12" s="58">
        <v>10</v>
      </c>
      <c r="E12" t="s">
        <v>40</v>
      </c>
      <c r="F12" s="40">
        <v>10</v>
      </c>
      <c r="H12" s="26"/>
      <c r="I12" s="24"/>
      <c r="J12" s="5"/>
    </row>
    <row r="13" spans="1:124" ht="34.5" customHeight="1" x14ac:dyDescent="0.35">
      <c r="A13" s="41">
        <v>11</v>
      </c>
      <c r="B13" s="65" t="s">
        <v>13</v>
      </c>
      <c r="D13" s="83">
        <v>11</v>
      </c>
      <c r="E13" t="s">
        <v>41</v>
      </c>
      <c r="F13" s="101">
        <v>11</v>
      </c>
      <c r="H13" s="23"/>
      <c r="I13" s="24"/>
      <c r="J13" s="5"/>
    </row>
    <row r="14" spans="1:124" ht="34.5" customHeight="1" x14ac:dyDescent="0.35">
      <c r="A14" s="41">
        <v>12</v>
      </c>
      <c r="B14"/>
      <c r="D14" s="57">
        <v>12</v>
      </c>
      <c r="E14" t="s">
        <v>26</v>
      </c>
      <c r="F14" s="45">
        <v>12</v>
      </c>
      <c r="H14" s="23"/>
      <c r="I14" s="24"/>
      <c r="J14" s="5"/>
    </row>
    <row r="15" spans="1:124" ht="34.5" customHeight="1" x14ac:dyDescent="0.35">
      <c r="A15" s="41">
        <v>13</v>
      </c>
      <c r="D15" s="84">
        <v>13</v>
      </c>
      <c r="E15" t="s">
        <v>25</v>
      </c>
      <c r="F15" s="43">
        <v>13</v>
      </c>
      <c r="G15" s="23"/>
      <c r="H15" s="23"/>
      <c r="I15" s="24"/>
      <c r="J15" s="5"/>
    </row>
    <row r="16" spans="1:124" ht="34.5" customHeight="1" x14ac:dyDescent="0.35">
      <c r="A16" s="41">
        <v>14</v>
      </c>
      <c r="D16">
        <v>14</v>
      </c>
      <c r="E16" t="s">
        <v>37</v>
      </c>
      <c r="F16" s="44">
        <v>14</v>
      </c>
      <c r="G16" s="23"/>
      <c r="H16" s="23"/>
      <c r="I16" s="24"/>
      <c r="J16" s="29"/>
    </row>
    <row r="17" spans="1:10" ht="34.5" customHeight="1" x14ac:dyDescent="0.35">
      <c r="A17" s="41">
        <v>15</v>
      </c>
      <c r="D17">
        <v>15</v>
      </c>
      <c r="E17" s="99" t="s">
        <v>24</v>
      </c>
      <c r="F17" s="45">
        <v>15</v>
      </c>
      <c r="G17" s="23"/>
      <c r="H17" s="23"/>
      <c r="I17" s="23"/>
      <c r="J17" s="23"/>
    </row>
    <row r="18" spans="1:10" ht="34.5" customHeight="1" x14ac:dyDescent="0.35">
      <c r="A18" s="41">
        <v>16</v>
      </c>
      <c r="C18" s="85"/>
      <c r="D18" s="8">
        <v>16</v>
      </c>
      <c r="E18" t="s">
        <v>22</v>
      </c>
      <c r="F18" s="43">
        <v>16</v>
      </c>
      <c r="G18" s="23"/>
      <c r="H18" s="23"/>
    </row>
    <row r="19" spans="1:10" ht="34.5" customHeight="1" x14ac:dyDescent="0.35">
      <c r="A19" s="41">
        <v>17</v>
      </c>
      <c r="C19" s="85"/>
      <c r="D19" s="8">
        <v>17</v>
      </c>
      <c r="E19" t="s">
        <v>42</v>
      </c>
      <c r="F19" s="45">
        <v>17</v>
      </c>
      <c r="G19" s="23"/>
      <c r="H19" s="23"/>
      <c r="J19" s="27"/>
    </row>
    <row r="20" spans="1:10" ht="34.5" customHeight="1" x14ac:dyDescent="0.35">
      <c r="A20" s="41">
        <v>18</v>
      </c>
      <c r="D20" s="8">
        <v>18</v>
      </c>
      <c r="E20" s="99" t="s">
        <v>23</v>
      </c>
      <c r="F20" s="43">
        <v>18</v>
      </c>
      <c r="I20" s="30"/>
    </row>
    <row r="21" spans="1:10" ht="34.5" customHeight="1" x14ac:dyDescent="0.35">
      <c r="A21" s="41">
        <v>19</v>
      </c>
      <c r="D21" s="8">
        <v>19</v>
      </c>
      <c r="E21" t="s">
        <v>27</v>
      </c>
      <c r="F21" s="100">
        <v>19</v>
      </c>
      <c r="J21" s="27"/>
    </row>
    <row r="22" spans="1:10" ht="34.5" customHeight="1" x14ac:dyDescent="0.35">
      <c r="A22" s="41">
        <v>20</v>
      </c>
      <c r="D22" s="8">
        <v>20</v>
      </c>
      <c r="E22" t="s">
        <v>30</v>
      </c>
      <c r="F22" s="45">
        <v>20</v>
      </c>
      <c r="J22" s="27"/>
    </row>
    <row r="23" spans="1:10" ht="34.5" customHeight="1" x14ac:dyDescent="0.35">
      <c r="A23" s="41">
        <v>21</v>
      </c>
      <c r="C23" s="78"/>
      <c r="D23" s="8">
        <v>21</v>
      </c>
      <c r="F23" s="92"/>
    </row>
    <row r="24" spans="1:10" ht="34.5" customHeight="1" x14ac:dyDescent="0.35">
      <c r="A24" s="41">
        <v>22</v>
      </c>
      <c r="C24" s="78"/>
      <c r="D24" s="8">
        <v>22</v>
      </c>
      <c r="F24" s="92"/>
    </row>
    <row r="25" spans="1:10" ht="34.5" customHeight="1" x14ac:dyDescent="0.35">
      <c r="A25" s="41">
        <v>23</v>
      </c>
      <c r="C25" s="78"/>
      <c r="D25" s="8">
        <v>23</v>
      </c>
      <c r="F25" s="105"/>
    </row>
    <row r="26" spans="1:10" ht="34.5" customHeight="1" x14ac:dyDescent="0.35">
      <c r="A26" s="41">
        <v>24</v>
      </c>
      <c r="C26" s="78"/>
      <c r="D26" s="8">
        <v>24</v>
      </c>
      <c r="E26" s="65"/>
      <c r="F26" s="40"/>
      <c r="H26" s="23"/>
    </row>
    <row r="27" spans="1:10" ht="34.5" customHeight="1" x14ac:dyDescent="0.35">
      <c r="A27" s="41">
        <v>25</v>
      </c>
      <c r="C27" s="78"/>
      <c r="D27" s="8">
        <v>25</v>
      </c>
      <c r="F27" s="100"/>
    </row>
    <row r="28" spans="1:10" ht="34.5" customHeight="1" x14ac:dyDescent="0.35">
      <c r="A28" s="41">
        <v>26</v>
      </c>
      <c r="C28" s="78"/>
      <c r="D28" s="8">
        <v>26</v>
      </c>
      <c r="F28" s="102"/>
    </row>
    <row r="29" spans="1:10" ht="34.5" customHeight="1" x14ac:dyDescent="0.35">
      <c r="A29" s="41">
        <v>27</v>
      </c>
      <c r="C29" s="78"/>
      <c r="D29" s="8">
        <v>27</v>
      </c>
      <c r="F29" s="40"/>
    </row>
    <row r="30" spans="1:10" ht="34.5" customHeight="1" x14ac:dyDescent="0.35">
      <c r="A30" s="41">
        <v>28</v>
      </c>
      <c r="C30" s="78"/>
      <c r="D30" s="8">
        <v>28</v>
      </c>
      <c r="F30" s="44"/>
    </row>
    <row r="31" spans="1:10" ht="34.5" customHeight="1" x14ac:dyDescent="0.35">
      <c r="A31" s="41">
        <v>29</v>
      </c>
      <c r="C31" s="78"/>
      <c r="D31" s="8">
        <v>29</v>
      </c>
      <c r="F31" s="98"/>
    </row>
    <row r="32" spans="1:10" ht="34.5" customHeight="1" x14ac:dyDescent="0.25">
      <c r="A32" s="41">
        <v>30</v>
      </c>
      <c r="B32" s="31"/>
      <c r="C32" s="78"/>
      <c r="D32" s="8">
        <v>30</v>
      </c>
      <c r="F32" s="92"/>
    </row>
    <row r="33" spans="1:8" ht="34.5" customHeight="1" x14ac:dyDescent="0.25">
      <c r="A33" s="41">
        <v>31</v>
      </c>
      <c r="B33" s="31"/>
      <c r="C33" s="78"/>
      <c r="D33" s="8">
        <v>31</v>
      </c>
      <c r="F33" s="88"/>
    </row>
    <row r="34" spans="1:8" ht="34.5" customHeight="1" x14ac:dyDescent="0.25">
      <c r="A34" s="41">
        <v>32</v>
      </c>
      <c r="B34" s="31"/>
      <c r="C34" s="78"/>
      <c r="D34" s="8">
        <v>32</v>
      </c>
      <c r="F34" s="91"/>
    </row>
    <row r="35" spans="1:8" ht="34.5" customHeight="1" x14ac:dyDescent="0.25">
      <c r="A35" s="41">
        <v>33</v>
      </c>
      <c r="B35" s="9"/>
      <c r="C35" s="78"/>
      <c r="D35" s="8">
        <v>33</v>
      </c>
      <c r="F35" s="90"/>
    </row>
    <row r="36" spans="1:8" ht="34.5" customHeight="1" x14ac:dyDescent="0.25">
      <c r="A36" s="41">
        <v>34</v>
      </c>
      <c r="B36" s="31"/>
      <c r="C36" s="78"/>
      <c r="D36" s="8">
        <v>34</v>
      </c>
      <c r="E36" s="89"/>
      <c r="F36" s="44"/>
    </row>
    <row r="37" spans="1:8" ht="34.5" customHeight="1" x14ac:dyDescent="0.25">
      <c r="A37" s="41">
        <v>35</v>
      </c>
      <c r="B37" s="31"/>
      <c r="C37" s="78"/>
      <c r="D37" s="8">
        <v>35</v>
      </c>
      <c r="F37" s="43"/>
    </row>
    <row r="38" spans="1:8" ht="34.5" customHeight="1" x14ac:dyDescent="0.25">
      <c r="A38" s="41">
        <v>36</v>
      </c>
      <c r="B38" s="31"/>
      <c r="C38" s="78"/>
      <c r="D38" s="8">
        <v>36</v>
      </c>
      <c r="E38" s="65"/>
      <c r="F38" s="12"/>
    </row>
    <row r="39" spans="1:8" ht="34.5" customHeight="1" x14ac:dyDescent="0.25">
      <c r="A39" s="41">
        <v>37</v>
      </c>
      <c r="B39" s="31"/>
      <c r="C39" s="78"/>
      <c r="D39" s="8">
        <v>37</v>
      </c>
      <c r="F39" s="13"/>
    </row>
    <row r="40" spans="1:8" ht="34.5" customHeight="1" x14ac:dyDescent="0.25">
      <c r="A40" s="46">
        <v>38</v>
      </c>
      <c r="B40" s="31"/>
      <c r="C40" s="78"/>
      <c r="D40" s="8">
        <v>38</v>
      </c>
      <c r="F40" s="13"/>
      <c r="G40" s="27"/>
    </row>
    <row r="41" spans="1:8" ht="34.5" customHeight="1" x14ac:dyDescent="0.25">
      <c r="A41" s="46">
        <v>39</v>
      </c>
      <c r="B41" s="9"/>
      <c r="C41" s="78"/>
      <c r="D41" s="8">
        <v>39</v>
      </c>
      <c r="E41" s="65"/>
      <c r="F41" s="80"/>
      <c r="G41" s="27"/>
      <c r="H41" s="28"/>
    </row>
    <row r="42" spans="1:8" ht="34.5" customHeight="1" x14ac:dyDescent="0.25">
      <c r="A42" s="46">
        <v>40</v>
      </c>
      <c r="B42" s="9"/>
      <c r="C42" s="78"/>
      <c r="D42" s="8">
        <v>40</v>
      </c>
      <c r="F42" s="12"/>
    </row>
    <row r="43" spans="1:8" ht="34.5" customHeight="1" x14ac:dyDescent="0.25">
      <c r="A43" s="47">
        <v>41</v>
      </c>
      <c r="B43" s="9"/>
      <c r="C43" s="78"/>
      <c r="D43" s="10">
        <v>41</v>
      </c>
      <c r="E43" s="65"/>
      <c r="F43" s="13"/>
    </row>
    <row r="44" spans="1:8" ht="34.5" customHeight="1" x14ac:dyDescent="0.25">
      <c r="A44" s="47">
        <v>42</v>
      </c>
      <c r="B44" s="9"/>
      <c r="C44" s="78"/>
      <c r="D44" s="10">
        <v>42</v>
      </c>
      <c r="F44" s="13"/>
    </row>
    <row r="45" spans="1:8" ht="34.5" customHeight="1" x14ac:dyDescent="0.25">
      <c r="A45" s="47">
        <v>43</v>
      </c>
      <c r="B45" s="48"/>
      <c r="C45" s="77"/>
      <c r="D45" s="31">
        <v>43</v>
      </c>
      <c r="F45" s="13"/>
    </row>
    <row r="46" spans="1:8" ht="34.5" customHeight="1" x14ac:dyDescent="0.25">
      <c r="A46" s="47">
        <v>44</v>
      </c>
      <c r="B46" s="48"/>
      <c r="C46" s="77"/>
      <c r="D46" s="31">
        <v>44</v>
      </c>
      <c r="F46" s="12"/>
    </row>
    <row r="47" spans="1:8" ht="34.5" customHeight="1" x14ac:dyDescent="0.25">
      <c r="A47" s="50">
        <v>45</v>
      </c>
      <c r="B47" s="48"/>
      <c r="C47" s="77"/>
      <c r="D47" s="11">
        <v>45</v>
      </c>
      <c r="F47" s="40"/>
    </row>
    <row r="48" spans="1:8" ht="34.5" customHeight="1" x14ac:dyDescent="0.25">
      <c r="A48" s="50">
        <v>46</v>
      </c>
      <c r="B48" s="48"/>
      <c r="C48" s="77"/>
      <c r="D48" s="31">
        <v>46</v>
      </c>
      <c r="F48" s="12"/>
    </row>
    <row r="49" spans="1:6" ht="34.5" customHeight="1" thickBot="1" x14ac:dyDescent="0.3">
      <c r="A49" s="52">
        <v>47</v>
      </c>
      <c r="B49" s="53"/>
      <c r="C49" s="79"/>
      <c r="D49" s="32">
        <v>47</v>
      </c>
      <c r="E49" s="61"/>
      <c r="F49" s="55"/>
    </row>
    <row r="50" spans="1:6" ht="34.5" customHeight="1" x14ac:dyDescent="0.35">
      <c r="A50" s="33"/>
      <c r="B50" s="34"/>
      <c r="C50" s="34"/>
      <c r="D50" s="33"/>
      <c r="E50" s="33"/>
      <c r="F50" s="35"/>
    </row>
    <row r="51" spans="1:6" ht="34.5" customHeight="1" x14ac:dyDescent="0.35"/>
    <row r="52" spans="1:6" ht="34.5" customHeight="1" x14ac:dyDescent="0.35"/>
    <row r="53" spans="1:6" ht="34.5" customHeight="1" x14ac:dyDescent="0.35"/>
    <row r="54" spans="1:6" ht="34.5" customHeight="1" x14ac:dyDescent="0.35"/>
    <row r="55" spans="1:6" ht="34.5" customHeight="1" x14ac:dyDescent="0.35"/>
  </sheetData>
  <sortState xmlns:xlrd2="http://schemas.microsoft.com/office/spreadsheetml/2017/richdata2" ref="E23:E42">
    <sortCondition ref="E23"/>
  </sortState>
  <mergeCells count="2">
    <mergeCell ref="B1:C1"/>
    <mergeCell ref="D1:F1"/>
  </mergeCells>
  <phoneticPr fontId="24" type="noConversion"/>
  <hyperlinks>
    <hyperlink ref="E3" r:id="rId1" display="Job 258" xr:uid="{626BF219-970B-49E8-A46B-47C046718D78}"/>
    <hyperlink ref="E6" r:id="rId2" display="24-108" xr:uid="{A125BE1A-8BE9-4374-BD52-AA5452E39C64}"/>
    <hyperlink ref="E5" r:id="rId3" display="23-242" xr:uid="{6E65475A-388C-4FE6-A9EC-0CB8CBFF015F}"/>
    <hyperlink ref="E7" r:id="rId4" display="Job @ 248 PS 140" xr:uid="{EDE36146-ED13-419A-99C7-734C3C440BD4}"/>
    <hyperlink ref="E4" r:id="rId5" display="23-242" xr:uid="{CF13DE1B-D060-45B2-B326-716B657E300C}"/>
  </hyperlinks>
  <printOptions horizontalCentered="1"/>
  <pageMargins left="0.2" right="0.2" top="0.25" bottom="0.25" header="0" footer="0"/>
  <pageSetup orientation="portrait" r:id="rId6"/>
  <rowBreaks count="2" manualBreakCount="2">
    <brk id="22" max="5" man="1"/>
    <brk id="44" max="5" man="1"/>
  </rowBreaks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autoFill="0" autoPict="0" macro="[0]!Done">
                <anchor>
                  <from>
                    <xdr:col>2</xdr:col>
                    <xdr:colOff>19050</xdr:colOff>
                    <xdr:row>1</xdr:row>
                    <xdr:rowOff>85725</xdr:rowOff>
                  </from>
                  <to>
                    <xdr:col>3</xdr:col>
                    <xdr:colOff>0</xdr:colOff>
                    <xdr:row>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autoFill="0" autoPict="0" macro="[0]!Done">
                <anchor>
                  <from>
                    <xdr:col>5</xdr:col>
                    <xdr:colOff>19050</xdr:colOff>
                    <xdr:row>1</xdr:row>
                    <xdr:rowOff>57150</xdr:rowOff>
                  </from>
                  <to>
                    <xdr:col>6</xdr:col>
                    <xdr:colOff>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ClearSchedule">
                <anchor>
                  <from>
                    <xdr:col>6</xdr:col>
                    <xdr:colOff>47625</xdr:colOff>
                    <xdr:row>0</xdr:row>
                    <xdr:rowOff>95250</xdr:rowOff>
                  </from>
                  <to>
                    <xdr:col>7</xdr:col>
                    <xdr:colOff>581025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SendPDF">
                <anchor>
                  <from>
                    <xdr:col>6</xdr:col>
                    <xdr:colOff>47625</xdr:colOff>
                    <xdr:row>1</xdr:row>
                    <xdr:rowOff>9525</xdr:rowOff>
                  </from>
                  <to>
                    <xdr:col>7</xdr:col>
                    <xdr:colOff>581025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DeleteComments">
                <anchor>
                  <from>
                    <xdr:col>8</xdr:col>
                    <xdr:colOff>38100</xdr:colOff>
                    <xdr:row>0</xdr:row>
                    <xdr:rowOff>76200</xdr:rowOff>
                  </from>
                  <to>
                    <xdr:col>9</xdr:col>
                    <xdr:colOff>571500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4" name="Button 20">
              <controlPr defaultSize="0" print="0" autoFill="0" autoPict="0" macro="[0]!SortFab">
                <anchor>
                  <from>
                    <xdr:col>8</xdr:col>
                    <xdr:colOff>38100</xdr:colOff>
                    <xdr:row>1</xdr:row>
                    <xdr:rowOff>19050</xdr:rowOff>
                  </from>
                  <to>
                    <xdr:col>9</xdr:col>
                    <xdr:colOff>571500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5" name="Button 21">
              <controlPr defaultSize="0" print="0" autoFill="0" autoPict="0" macro="[0]!PrintSchedule">
                <anchor>
                  <from>
                    <xdr:col>10</xdr:col>
                    <xdr:colOff>38100</xdr:colOff>
                    <xdr:row>0</xdr:row>
                    <xdr:rowOff>76200</xdr:rowOff>
                  </from>
                  <to>
                    <xdr:col>11</xdr:col>
                    <xdr:colOff>571500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DFD2E-1995-4426-8554-EB9A1EB05B6F}">
  <sheetPr codeName="Sheet2"/>
  <dimension ref="A1:DT55"/>
  <sheetViews>
    <sheetView zoomScaleNormal="100" zoomScaleSheetLayoutView="100" workbookViewId="0">
      <selection activeCell="B10" sqref="B10"/>
    </sheetView>
  </sheetViews>
  <sheetFormatPr defaultRowHeight="21" x14ac:dyDescent="0.35"/>
  <cols>
    <col min="1" max="1" width="3.42578125" customWidth="1"/>
    <col min="2" max="2" width="38.28515625" style="3" customWidth="1"/>
    <col min="3" max="3" width="7.140625" style="3" customWidth="1"/>
    <col min="4" max="4" width="3.42578125" customWidth="1"/>
    <col min="5" max="5" width="38.28515625" customWidth="1"/>
    <col min="6" max="6" width="7.140625" style="18" customWidth="1"/>
    <col min="7" max="11" width="9.140625" style="22"/>
    <col min="12" max="12" width="9.140625" style="22" customWidth="1"/>
    <col min="13" max="13" width="8.28515625" style="22" hidden="1" customWidth="1"/>
    <col min="14" max="14" width="9.140625" style="22"/>
    <col min="15" max="15" width="38.7109375" style="22" customWidth="1"/>
    <col min="16" max="124" width="9.140625" style="22"/>
  </cols>
  <sheetData>
    <row r="1" spans="1:124" s="1" customFormat="1" ht="30" customHeight="1" thickBot="1" x14ac:dyDescent="0.3">
      <c r="A1" s="36"/>
      <c r="B1" s="106" t="s">
        <v>0</v>
      </c>
      <c r="C1" s="107"/>
      <c r="D1" s="108">
        <f>Sheet1!D1</f>
        <v>46148</v>
      </c>
      <c r="E1" s="109"/>
      <c r="F1" s="110"/>
      <c r="G1" s="19"/>
      <c r="H1" s="20"/>
      <c r="I1" s="20"/>
      <c r="J1" s="19"/>
      <c r="K1" s="19"/>
      <c r="L1" s="19"/>
      <c r="M1" s="21">
        <f ca="1">TODAY()</f>
        <v>46148</v>
      </c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  <c r="BJ1" s="19"/>
      <c r="BK1" s="19"/>
      <c r="BL1" s="19"/>
      <c r="BM1" s="19"/>
      <c r="BN1" s="19"/>
      <c r="BO1" s="19"/>
      <c r="BP1" s="19"/>
      <c r="BQ1" s="19"/>
      <c r="BR1" s="19"/>
      <c r="BS1" s="19"/>
      <c r="BT1" s="19"/>
      <c r="BU1" s="19"/>
      <c r="BV1" s="19"/>
      <c r="BW1" s="19"/>
      <c r="BX1" s="19"/>
      <c r="BY1" s="19"/>
      <c r="BZ1" s="19"/>
      <c r="CA1" s="19"/>
      <c r="CB1" s="19"/>
      <c r="CC1" s="19"/>
      <c r="CD1" s="19"/>
      <c r="CE1" s="19"/>
      <c r="CF1" s="19"/>
      <c r="CG1" s="19"/>
      <c r="CH1" s="19"/>
      <c r="CI1" s="19"/>
      <c r="CJ1" s="19"/>
      <c r="CK1" s="19"/>
      <c r="CL1" s="19"/>
      <c r="CM1" s="19"/>
      <c r="CN1" s="19"/>
      <c r="CO1" s="19"/>
      <c r="CP1" s="19"/>
      <c r="CQ1" s="19"/>
      <c r="CR1" s="19"/>
      <c r="CS1" s="19"/>
      <c r="CT1" s="19"/>
      <c r="CU1" s="19"/>
      <c r="CV1" s="19"/>
      <c r="CW1" s="19"/>
      <c r="CX1" s="19"/>
      <c r="CY1" s="19"/>
      <c r="CZ1" s="19"/>
      <c r="DA1" s="19"/>
      <c r="DB1" s="19"/>
      <c r="DC1" s="19"/>
      <c r="DD1" s="19"/>
      <c r="DE1" s="19"/>
      <c r="DF1" s="19"/>
      <c r="DG1" s="19"/>
      <c r="DH1" s="19"/>
      <c r="DI1" s="19"/>
      <c r="DJ1" s="19"/>
      <c r="DK1" s="19"/>
      <c r="DL1" s="19"/>
      <c r="DM1" s="19"/>
      <c r="DN1" s="19"/>
      <c r="DO1" s="19"/>
      <c r="DP1" s="19"/>
      <c r="DQ1" s="19"/>
      <c r="DR1" s="19"/>
      <c r="DS1" s="19"/>
      <c r="DT1" s="19"/>
    </row>
    <row r="2" spans="1:124" ht="21.75" customHeight="1" thickTop="1" x14ac:dyDescent="0.25">
      <c r="A2" s="37"/>
      <c r="B2" s="56" t="s">
        <v>5</v>
      </c>
      <c r="C2" s="6" t="s">
        <v>3</v>
      </c>
      <c r="D2" s="2"/>
      <c r="E2" s="59" t="s">
        <v>20</v>
      </c>
      <c r="F2" s="38"/>
      <c r="H2" s="23"/>
      <c r="I2" s="23"/>
      <c r="J2" s="23"/>
      <c r="K2" s="23"/>
      <c r="M2" s="21" t="str">
        <f ca="1">IF(D1&lt;&gt;M1,"No","Yes")</f>
        <v>Yes</v>
      </c>
    </row>
    <row r="3" spans="1:124" ht="34.5" customHeight="1" x14ac:dyDescent="0.25">
      <c r="A3" s="39">
        <v>1</v>
      </c>
      <c r="B3" s="65" t="s">
        <v>14</v>
      </c>
      <c r="C3" s="95" t="s">
        <v>8</v>
      </c>
      <c r="D3" s="7">
        <v>1</v>
      </c>
      <c r="E3" s="65" t="s">
        <v>9</v>
      </c>
      <c r="F3" s="94" t="s">
        <v>11</v>
      </c>
      <c r="H3" s="23"/>
      <c r="I3" s="24"/>
      <c r="J3" s="4"/>
      <c r="K3" s="62"/>
    </row>
    <row r="4" spans="1:124" ht="34.5" customHeight="1" x14ac:dyDescent="0.25">
      <c r="A4" s="41">
        <v>2</v>
      </c>
      <c r="B4" s="65" t="s">
        <v>15</v>
      </c>
      <c r="C4" s="96" t="s">
        <v>8</v>
      </c>
      <c r="D4" s="8">
        <v>2</v>
      </c>
      <c r="E4" s="65" t="s">
        <v>10</v>
      </c>
      <c r="F4" s="93" t="s">
        <v>12</v>
      </c>
    </row>
    <row r="5" spans="1:124" ht="34.5" customHeight="1" x14ac:dyDescent="0.25">
      <c r="A5" s="41">
        <v>3</v>
      </c>
      <c r="B5" s="65" t="s">
        <v>17</v>
      </c>
      <c r="C5" s="95" t="s">
        <v>8</v>
      </c>
      <c r="D5" s="8">
        <v>3</v>
      </c>
      <c r="F5" s="44"/>
      <c r="H5" s="23"/>
      <c r="J5" s="4"/>
      <c r="K5" s="23"/>
    </row>
    <row r="6" spans="1:124" ht="34.5" customHeight="1" x14ac:dyDescent="0.25">
      <c r="A6" s="41">
        <v>4</v>
      </c>
      <c r="B6" t="s">
        <v>16</v>
      </c>
      <c r="C6" s="94" t="s">
        <v>18</v>
      </c>
      <c r="D6" s="8">
        <v>4</v>
      </c>
      <c r="I6" s="24"/>
      <c r="J6" s="25"/>
      <c r="K6" s="23"/>
      <c r="O6" s="26"/>
      <c r="P6" s="26"/>
      <c r="Q6" s="27"/>
    </row>
    <row r="7" spans="1:124" ht="34.5" customHeight="1" x14ac:dyDescent="0.25">
      <c r="A7" s="41">
        <v>5</v>
      </c>
      <c r="B7"/>
      <c r="C7" s="51"/>
      <c r="D7" s="57">
        <v>5</v>
      </c>
      <c r="J7" s="4"/>
      <c r="L7" s="19"/>
      <c r="M7" s="21">
        <f ca="1">TODAY()</f>
        <v>46148</v>
      </c>
      <c r="N7" s="19"/>
      <c r="O7" s="19"/>
      <c r="P7" s="19"/>
      <c r="Q7" s="27"/>
    </row>
    <row r="8" spans="1:124" ht="34.5" customHeight="1" x14ac:dyDescent="0.25">
      <c r="A8" s="41">
        <v>6</v>
      </c>
      <c r="B8"/>
      <c r="C8" s="67"/>
      <c r="D8" s="57">
        <v>6</v>
      </c>
      <c r="F8" s="45"/>
      <c r="H8" s="23"/>
      <c r="I8" s="24"/>
      <c r="K8" s="23"/>
      <c r="M8" s="21" t="str">
        <f ca="1">IF(D7&lt;&gt;M7,"No","Yes")</f>
        <v>No</v>
      </c>
      <c r="Q8" s="26"/>
    </row>
    <row r="9" spans="1:124" ht="34.5" customHeight="1" x14ac:dyDescent="0.25">
      <c r="A9" s="41">
        <v>7</v>
      </c>
      <c r="B9"/>
      <c r="C9" s="66"/>
      <c r="D9" s="57">
        <v>7</v>
      </c>
      <c r="F9" s="45"/>
      <c r="G9" s="26"/>
      <c r="H9" s="26"/>
      <c r="I9" s="24"/>
      <c r="J9" s="5"/>
      <c r="K9" s="23"/>
    </row>
    <row r="10" spans="1:124" ht="34.5" customHeight="1" x14ac:dyDescent="0.25">
      <c r="A10" s="41">
        <v>8</v>
      </c>
      <c r="B10" t="s">
        <v>19</v>
      </c>
      <c r="C10" s="97" t="s">
        <v>21</v>
      </c>
      <c r="D10" s="57">
        <v>8</v>
      </c>
      <c r="F10" s="40"/>
      <c r="H10" s="26"/>
      <c r="I10" s="24"/>
      <c r="J10" s="5"/>
      <c r="K10" s="23"/>
      <c r="Q10" s="27"/>
    </row>
    <row r="11" spans="1:124" ht="34.5" customHeight="1" x14ac:dyDescent="0.25">
      <c r="A11" s="41">
        <v>9</v>
      </c>
      <c r="B11"/>
      <c r="C11" s="15"/>
      <c r="D11" s="58">
        <v>9</v>
      </c>
      <c r="F11" s="44"/>
      <c r="H11" s="23"/>
      <c r="I11" s="24"/>
      <c r="J11" s="5"/>
      <c r="K11" s="23"/>
    </row>
    <row r="12" spans="1:124" ht="34.5" customHeight="1" x14ac:dyDescent="0.25">
      <c r="A12" s="41">
        <v>10</v>
      </c>
      <c r="B12" s="63"/>
      <c r="C12" s="64"/>
      <c r="D12" s="58">
        <v>10</v>
      </c>
      <c r="F12" s="44"/>
      <c r="H12" s="26"/>
      <c r="I12" s="24"/>
      <c r="J12" s="5"/>
      <c r="K12" s="23"/>
      <c r="O12" s="26"/>
      <c r="P12" s="26"/>
    </row>
    <row r="13" spans="1:124" ht="34.5" customHeight="1" x14ac:dyDescent="0.25">
      <c r="A13" s="41">
        <v>11</v>
      </c>
      <c r="B13" s="14"/>
      <c r="C13" s="17"/>
      <c r="D13" s="10">
        <v>11</v>
      </c>
      <c r="F13" s="45"/>
      <c r="H13" s="23"/>
      <c r="I13" s="24"/>
      <c r="J13" s="5"/>
      <c r="K13" s="23"/>
      <c r="P13" s="76"/>
    </row>
    <row r="14" spans="1:124" ht="34.5" customHeight="1" x14ac:dyDescent="0.25">
      <c r="A14" s="41">
        <v>12</v>
      </c>
      <c r="B14"/>
      <c r="C14" s="15"/>
      <c r="D14" s="57">
        <v>12</v>
      </c>
      <c r="F14" s="40"/>
      <c r="H14" s="23"/>
      <c r="I14" s="24"/>
      <c r="J14" s="5"/>
      <c r="K14" s="23"/>
      <c r="L14" s="19"/>
      <c r="M14" s="21">
        <f ca="1">TODAY()</f>
        <v>46148</v>
      </c>
      <c r="N14" s="19"/>
      <c r="O14" s="19"/>
      <c r="P14" s="19"/>
    </row>
    <row r="15" spans="1:124" ht="34.5" customHeight="1" thickBot="1" x14ac:dyDescent="0.3">
      <c r="A15" s="41">
        <v>13</v>
      </c>
      <c r="B15" s="32"/>
      <c r="C15" s="16"/>
      <c r="D15">
        <v>13</v>
      </c>
      <c r="F15" s="43"/>
      <c r="H15" s="23"/>
      <c r="I15" s="24"/>
      <c r="J15" s="5"/>
      <c r="K15" s="23"/>
      <c r="M15" s="21" t="str">
        <f ca="1">IF(D14&lt;&gt;M14,"No","Yes")</f>
        <v>No</v>
      </c>
    </row>
    <row r="16" spans="1:124" ht="34.5" customHeight="1" x14ac:dyDescent="0.4">
      <c r="A16" s="41">
        <v>14</v>
      </c>
      <c r="B16"/>
      <c r="C16" s="42"/>
      <c r="D16">
        <v>14</v>
      </c>
      <c r="F16" s="15"/>
      <c r="H16" s="23"/>
      <c r="I16" s="24"/>
      <c r="J16" s="29"/>
    </row>
    <row r="17" spans="1:16" ht="34.5" customHeight="1" x14ac:dyDescent="0.4">
      <c r="A17" s="41">
        <v>15</v>
      </c>
      <c r="C17" s="42"/>
      <c r="D17">
        <v>15</v>
      </c>
      <c r="F17" s="43"/>
      <c r="H17" s="23"/>
      <c r="I17" s="23"/>
      <c r="J17" s="23"/>
      <c r="K17" s="23"/>
    </row>
    <row r="18" spans="1:16" ht="34.5" customHeight="1" x14ac:dyDescent="0.4">
      <c r="A18" s="41">
        <v>16</v>
      </c>
      <c r="C18" s="42"/>
      <c r="D18" s="8">
        <v>16</v>
      </c>
      <c r="F18" s="44"/>
    </row>
    <row r="19" spans="1:16" ht="34.5" customHeight="1" x14ac:dyDescent="0.4">
      <c r="A19" s="41">
        <v>17</v>
      </c>
      <c r="C19" s="42"/>
      <c r="D19" s="8">
        <v>17</v>
      </c>
      <c r="F19" s="44"/>
      <c r="H19" s="27"/>
      <c r="J19" s="27"/>
      <c r="P19" s="27"/>
    </row>
    <row r="20" spans="1:16" ht="34.5" customHeight="1" x14ac:dyDescent="0.4">
      <c r="A20" s="41">
        <v>18</v>
      </c>
      <c r="C20" s="42"/>
      <c r="D20" s="8">
        <v>18</v>
      </c>
      <c r="F20" s="82"/>
      <c r="I20" s="30"/>
    </row>
    <row r="21" spans="1:16" ht="34.5" customHeight="1" x14ac:dyDescent="0.4">
      <c r="A21" s="41">
        <v>19</v>
      </c>
      <c r="C21" s="42"/>
      <c r="D21" s="8">
        <v>19</v>
      </c>
      <c r="F21" s="43"/>
      <c r="J21" s="27"/>
      <c r="N21" s="26"/>
      <c r="O21" s="26"/>
    </row>
    <row r="22" spans="1:16" ht="34.5" customHeight="1" x14ac:dyDescent="0.4">
      <c r="A22" s="41">
        <v>20</v>
      </c>
      <c r="B22" s="31"/>
      <c r="C22" s="42"/>
      <c r="D22" s="8">
        <v>20</v>
      </c>
      <c r="F22" s="43"/>
      <c r="J22" s="27"/>
      <c r="O22" s="76"/>
    </row>
    <row r="23" spans="1:16" ht="34.5" customHeight="1" x14ac:dyDescent="0.4">
      <c r="A23" s="41">
        <v>21</v>
      </c>
      <c r="B23" s="31"/>
      <c r="C23" s="42"/>
      <c r="D23" s="8">
        <v>21</v>
      </c>
      <c r="F23" s="43"/>
      <c r="K23" s="19"/>
      <c r="L23" s="21"/>
      <c r="M23" s="19"/>
      <c r="N23" s="19"/>
      <c r="O23" s="19"/>
    </row>
    <row r="24" spans="1:16" ht="34.5" customHeight="1" x14ac:dyDescent="0.4">
      <c r="A24" s="41">
        <v>22</v>
      </c>
      <c r="B24" s="31"/>
      <c r="C24" s="42"/>
      <c r="D24" s="8">
        <v>22</v>
      </c>
      <c r="F24" s="45"/>
      <c r="L24" s="21"/>
    </row>
    <row r="25" spans="1:16" ht="34.5" customHeight="1" x14ac:dyDescent="0.4">
      <c r="A25" s="41">
        <v>23</v>
      </c>
      <c r="B25" s="31"/>
      <c r="C25" s="42"/>
      <c r="D25" s="8">
        <v>23</v>
      </c>
      <c r="F25" s="44"/>
    </row>
    <row r="26" spans="1:16" ht="34.5" customHeight="1" x14ac:dyDescent="0.4">
      <c r="A26" s="41">
        <v>24</v>
      </c>
      <c r="B26" s="31"/>
      <c r="C26" s="42"/>
      <c r="D26" s="8">
        <v>24</v>
      </c>
      <c r="F26" s="81"/>
    </row>
    <row r="27" spans="1:16" ht="34.5" customHeight="1" x14ac:dyDescent="0.4">
      <c r="A27" s="41">
        <v>25</v>
      </c>
      <c r="B27" s="31"/>
      <c r="C27" s="42"/>
      <c r="D27" s="8">
        <v>25</v>
      </c>
      <c r="F27" s="43"/>
    </row>
    <row r="28" spans="1:16" ht="34.5" customHeight="1" x14ac:dyDescent="0.4">
      <c r="A28" s="41">
        <v>26</v>
      </c>
      <c r="B28" s="9"/>
      <c r="C28" s="42"/>
      <c r="D28" s="8">
        <v>26</v>
      </c>
      <c r="F28" s="43"/>
    </row>
    <row r="29" spans="1:16" ht="34.5" customHeight="1" x14ac:dyDescent="0.4">
      <c r="A29" s="41">
        <v>27</v>
      </c>
      <c r="B29" s="9"/>
      <c r="C29" s="42"/>
      <c r="D29" s="8">
        <v>27</v>
      </c>
      <c r="F29" s="44"/>
    </row>
    <row r="30" spans="1:16" ht="34.5" customHeight="1" x14ac:dyDescent="0.4">
      <c r="A30" s="41">
        <v>28</v>
      </c>
      <c r="B30" s="31"/>
      <c r="C30" s="42"/>
      <c r="D30" s="8">
        <v>28</v>
      </c>
      <c r="F30" s="44"/>
    </row>
    <row r="31" spans="1:16" ht="34.5" customHeight="1" x14ac:dyDescent="0.4">
      <c r="A31" s="41">
        <v>29</v>
      </c>
      <c r="B31" s="31"/>
      <c r="C31" s="42"/>
      <c r="D31" s="8">
        <v>29</v>
      </c>
      <c r="F31" s="82"/>
    </row>
    <row r="32" spans="1:16" ht="34.5" customHeight="1" x14ac:dyDescent="0.4">
      <c r="A32" s="41">
        <v>30</v>
      </c>
      <c r="B32" s="31"/>
      <c r="C32" s="42"/>
      <c r="D32" s="8">
        <v>30</v>
      </c>
      <c r="F32" s="44"/>
    </row>
    <row r="33" spans="1:8" ht="34.5" customHeight="1" x14ac:dyDescent="0.4">
      <c r="A33" s="41">
        <v>31</v>
      </c>
      <c r="B33" s="31"/>
      <c r="C33" s="42"/>
      <c r="D33" s="8">
        <v>31</v>
      </c>
      <c r="F33" s="43"/>
    </row>
    <row r="34" spans="1:8" ht="34.5" customHeight="1" x14ac:dyDescent="0.4">
      <c r="A34" s="41">
        <v>32</v>
      </c>
      <c r="B34" s="31"/>
      <c r="C34" s="42"/>
      <c r="D34" s="8">
        <v>32</v>
      </c>
      <c r="F34" s="44"/>
    </row>
    <row r="35" spans="1:8" ht="34.5" customHeight="1" thickBot="1" x14ac:dyDescent="0.45">
      <c r="A35" s="71">
        <v>33</v>
      </c>
      <c r="B35" s="72"/>
      <c r="C35" s="73"/>
      <c r="D35" s="74">
        <v>33</v>
      </c>
      <c r="F35" s="75"/>
    </row>
    <row r="36" spans="1:8" ht="34.5" customHeight="1" x14ac:dyDescent="0.4">
      <c r="A36" s="39">
        <v>34</v>
      </c>
      <c r="B36" s="68"/>
      <c r="C36" s="69"/>
      <c r="D36" s="7">
        <v>34</v>
      </c>
      <c r="F36" s="70"/>
    </row>
    <row r="37" spans="1:8" ht="34.5" customHeight="1" x14ac:dyDescent="0.4">
      <c r="A37" s="41">
        <v>35</v>
      </c>
      <c r="B37" s="31"/>
      <c r="C37" s="42"/>
      <c r="D37" s="8">
        <v>35</v>
      </c>
      <c r="F37" s="40"/>
    </row>
    <row r="38" spans="1:8" ht="34.5" customHeight="1" x14ac:dyDescent="0.4">
      <c r="A38" s="41">
        <v>36</v>
      </c>
      <c r="B38" s="31"/>
      <c r="C38" s="42"/>
      <c r="D38" s="8">
        <v>36</v>
      </c>
      <c r="F38" s="43"/>
    </row>
    <row r="39" spans="1:8" ht="34.5" customHeight="1" x14ac:dyDescent="0.4">
      <c r="A39" s="41">
        <v>37</v>
      </c>
      <c r="B39" s="31"/>
      <c r="C39" s="42"/>
      <c r="D39" s="8">
        <v>37</v>
      </c>
      <c r="F39" s="40"/>
    </row>
    <row r="40" spans="1:8" ht="34.5" customHeight="1" x14ac:dyDescent="0.4">
      <c r="A40" s="46">
        <v>38</v>
      </c>
      <c r="B40" s="31"/>
      <c r="C40" s="42"/>
      <c r="D40" s="8">
        <v>38</v>
      </c>
      <c r="F40" s="40"/>
      <c r="G40" s="27"/>
    </row>
    <row r="41" spans="1:8" ht="34.5" customHeight="1" x14ac:dyDescent="0.4">
      <c r="A41" s="46">
        <v>39</v>
      </c>
      <c r="B41" s="9"/>
      <c r="C41" s="42"/>
      <c r="D41" s="8">
        <v>39</v>
      </c>
      <c r="F41" s="40"/>
      <c r="G41" s="27"/>
      <c r="H41" s="28"/>
    </row>
    <row r="42" spans="1:8" ht="34.5" customHeight="1" x14ac:dyDescent="0.4">
      <c r="A42" s="46">
        <v>40</v>
      </c>
      <c r="B42" s="9"/>
      <c r="C42" s="42"/>
      <c r="D42" s="8">
        <v>40</v>
      </c>
      <c r="F42" s="12"/>
    </row>
    <row r="43" spans="1:8" ht="34.5" customHeight="1" x14ac:dyDescent="0.4">
      <c r="A43" s="47">
        <v>41</v>
      </c>
      <c r="B43" s="9"/>
      <c r="C43" s="42"/>
      <c r="D43" s="10">
        <v>41</v>
      </c>
      <c r="F43" s="13"/>
    </row>
    <row r="44" spans="1:8" ht="34.5" customHeight="1" x14ac:dyDescent="0.4">
      <c r="A44" s="47">
        <v>42</v>
      </c>
      <c r="B44" s="9"/>
      <c r="C44" s="42"/>
      <c r="D44" s="10">
        <v>42</v>
      </c>
      <c r="F44" s="13"/>
    </row>
    <row r="45" spans="1:8" ht="34.5" customHeight="1" x14ac:dyDescent="0.35">
      <c r="A45" s="47">
        <v>43</v>
      </c>
      <c r="B45" s="48"/>
      <c r="C45" s="49"/>
      <c r="D45" s="31">
        <v>43</v>
      </c>
      <c r="F45" s="13"/>
    </row>
    <row r="46" spans="1:8" ht="34.5" customHeight="1" x14ac:dyDescent="0.35">
      <c r="A46" s="47">
        <v>44</v>
      </c>
      <c r="B46" s="48"/>
      <c r="C46" s="49"/>
      <c r="D46" s="31">
        <v>44</v>
      </c>
      <c r="F46" s="12"/>
    </row>
    <row r="47" spans="1:8" ht="34.5" customHeight="1" x14ac:dyDescent="0.35">
      <c r="A47" s="50">
        <v>45</v>
      </c>
      <c r="B47" s="48"/>
      <c r="C47" s="49"/>
      <c r="D47" s="11">
        <v>45</v>
      </c>
      <c r="F47" s="40"/>
    </row>
    <row r="48" spans="1:8" ht="34.5" customHeight="1" x14ac:dyDescent="0.35">
      <c r="A48" s="50">
        <v>46</v>
      </c>
      <c r="B48" s="48"/>
      <c r="C48" s="49"/>
      <c r="D48" s="31">
        <v>46</v>
      </c>
      <c r="F48" s="51"/>
    </row>
    <row r="49" spans="1:6" ht="34.5" customHeight="1" thickBot="1" x14ac:dyDescent="0.4">
      <c r="A49" s="52">
        <v>47</v>
      </c>
      <c r="B49" s="53"/>
      <c r="C49" s="54"/>
      <c r="D49" s="32">
        <v>47</v>
      </c>
      <c r="E49" s="61"/>
      <c r="F49" s="55"/>
    </row>
    <row r="50" spans="1:6" ht="34.5" customHeight="1" x14ac:dyDescent="0.35">
      <c r="A50" s="33"/>
      <c r="B50" s="34"/>
      <c r="C50" s="34"/>
      <c r="D50" s="33"/>
      <c r="E50" s="33"/>
      <c r="F50" s="35"/>
    </row>
    <row r="51" spans="1:6" ht="34.5" customHeight="1" x14ac:dyDescent="0.35"/>
    <row r="52" spans="1:6" ht="34.5" customHeight="1" x14ac:dyDescent="0.35"/>
    <row r="53" spans="1:6" ht="34.5" customHeight="1" x14ac:dyDescent="0.35"/>
    <row r="54" spans="1:6" ht="34.5" customHeight="1" x14ac:dyDescent="0.35"/>
    <row r="55" spans="1:6" ht="34.5" customHeight="1" x14ac:dyDescent="0.35"/>
  </sheetData>
  <sortState xmlns:xlrd2="http://schemas.microsoft.com/office/spreadsheetml/2017/richdata2" ref="E26:E42">
    <sortCondition ref="E26"/>
  </sortState>
  <mergeCells count="2">
    <mergeCell ref="B1:C1"/>
    <mergeCell ref="D1:F1"/>
  </mergeCells>
  <hyperlinks>
    <hyperlink ref="B3" r:id="rId1" xr:uid="{1D8834BE-65B7-427E-9E25-53F6F60F4338}"/>
    <hyperlink ref="B4" r:id="rId2" xr:uid="{1C0D1A7E-64B5-48BE-9627-7216F96C4F65}"/>
    <hyperlink ref="B5" r:id="rId3" xr:uid="{CB6CB486-151B-4128-8C80-E81D54A0ECB7}"/>
  </hyperlinks>
  <printOptions horizontalCentered="1"/>
  <pageMargins left="0.2" right="0.2" top="0.25" bottom="0.25" header="0" footer="0"/>
  <pageSetup orientation="portrait" r:id="rId4"/>
  <rowBreaks count="2" manualBreakCount="2">
    <brk id="22" max="5" man="1"/>
    <brk id="44" max="5" man="1"/>
  </rowBreaks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7" name="Button 1">
              <controlPr defaultSize="0" autoFill="0" autoPict="0" macro="[0]!Done">
                <anchor>
                  <from>
                    <xdr:col>2</xdr:col>
                    <xdr:colOff>19050</xdr:colOff>
                    <xdr:row>1</xdr:row>
                    <xdr:rowOff>85725</xdr:rowOff>
                  </from>
                  <to>
                    <xdr:col>3</xdr:col>
                    <xdr:colOff>0</xdr:colOff>
                    <xdr:row>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8" name="Button 2">
              <controlPr defaultSize="0" autoFill="0" autoPict="0" macro="[0]!Done">
                <anchor>
                  <from>
                    <xdr:col>5</xdr:col>
                    <xdr:colOff>19050</xdr:colOff>
                    <xdr:row>1</xdr:row>
                    <xdr:rowOff>57150</xdr:rowOff>
                  </from>
                  <to>
                    <xdr:col>6</xdr:col>
                    <xdr:colOff>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9" name="Button 7">
              <controlPr defaultSize="0" print="0" autoFill="0" autoPict="0" macro="[0]!Sortwrap">
                <anchor>
                  <from>
                    <xdr:col>7</xdr:col>
                    <xdr:colOff>9525</xdr:colOff>
                    <xdr:row>2</xdr:row>
                    <xdr:rowOff>314325</xdr:rowOff>
                  </from>
                  <to>
                    <xdr:col>8</xdr:col>
                    <xdr:colOff>542925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69D09D911224F46A8BB14CFB16FC043" ma:contentTypeVersion="15" ma:contentTypeDescription="Create a new document." ma:contentTypeScope="" ma:versionID="29457f02a7921e8c6a17146fb4117841">
  <xsd:schema xmlns:xsd="http://www.w3.org/2001/XMLSchema" xmlns:xs="http://www.w3.org/2001/XMLSchema" xmlns:p="http://schemas.microsoft.com/office/2006/metadata/properties" xmlns:ns1="http://schemas.microsoft.com/sharepoint/v3" xmlns:ns2="66b0349f-b0f7-4645-85f5-416ed92ff9b0" xmlns:ns3="aa93d11e-d580-4af1-8375-db87a3a608f0" targetNamespace="http://schemas.microsoft.com/office/2006/metadata/properties" ma:root="true" ma:fieldsID="34862201a69ad7071e7eab2245814567" ns1:_="" ns2:_="" ns3:_="">
    <xsd:import namespace="http://schemas.microsoft.com/sharepoint/v3"/>
    <xsd:import namespace="66b0349f-b0f7-4645-85f5-416ed92ff9b0"/>
    <xsd:import namespace="aa93d11e-d580-4af1-8375-db87a3a608f0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DateTaken" minOccurs="0"/>
                <xsd:element ref="ns3:MediaServiceObjectDetectorVersion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Location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4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5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b0349f-b0f7-4645-85f5-416ed92ff9b0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dexed="true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21" nillable="true" ma:displayName="Taxonomy Catch All Column" ma:hidden="true" ma:list="{eb36c928-83f6-44c4-a5a4-a92dd3d3388a}" ma:internalName="TaxCatchAll" ma:showField="CatchAllData" ma:web="66b0349f-b0f7-4645-85f5-416ed92ff9b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a93d11e-d580-4af1-8375-db87a3a608f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63e55e58-661d-492d-9042-ed641a8fabb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3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66b0349f-b0f7-4645-85f5-416ed92ff9b0">Q5PFNXJ647HD-1472929850-160</_dlc_DocId>
    <_dlc_DocIdUrl xmlns="66b0349f-b0f7-4645-85f5-416ed92ff9b0">
      <Url>https://tagus.sharepoint.com/sites/TomcoShare/_layouts/15/DocIdRedir.aspx?ID=Q5PFNXJ647HD-1472929850-160</Url>
      <Description>Q5PFNXJ647HD-1472929850-160</Description>
    </_dlc_DocIdUrl>
    <TaxCatchAll xmlns="66b0349f-b0f7-4645-85f5-416ed92ff9b0" xsi:nil="true"/>
    <lcf76f155ced4ddcb4097134ff3c332f xmlns="aa93d11e-d580-4af1-8375-db87a3a608f0">
      <Terms xmlns="http://schemas.microsoft.com/office/infopath/2007/PartnerControls"/>
    </lcf76f155ced4ddcb4097134ff3c332f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Props1.xml><?xml version="1.0" encoding="utf-8"?>
<ds:datastoreItem xmlns:ds="http://schemas.openxmlformats.org/officeDocument/2006/customXml" ds:itemID="{0CF206F4-7966-4C3D-84DF-7AE5301391E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66b0349f-b0f7-4645-85f5-416ed92ff9b0"/>
    <ds:schemaRef ds:uri="aa93d11e-d580-4af1-8375-db87a3a608f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F58EA24-EAE7-436C-8C41-9A17D4BDA3A8}">
  <ds:schemaRefs>
    <ds:schemaRef ds:uri="http://schemas.openxmlformats.org/package/2006/metadata/core-properties"/>
    <ds:schemaRef ds:uri="http://schemas.microsoft.com/sharepoint/v3"/>
    <ds:schemaRef ds:uri="http://schemas.microsoft.com/office/2006/metadata/properties"/>
    <ds:schemaRef ds:uri="http://www.w3.org/XML/1998/namespace"/>
    <ds:schemaRef ds:uri="66b0349f-b0f7-4645-85f5-416ed92ff9b0"/>
    <ds:schemaRef ds:uri="http://purl.org/dc/dcmitype/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aa93d11e-d580-4af1-8375-db87a3a608f0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AA6D0095-909F-4421-8FA4-33D3923D30F7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502910BE-04A5-4F3E-ACC8-2373F6519912}">
  <ds:schemaRefs>
    <ds:schemaRef ds:uri="http://schemas.microsoft.com/sharepoint/event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Sheet1</vt:lpstr>
      <vt:lpstr>Hold|Order-Log</vt:lpstr>
      <vt:lpstr>Chart1</vt:lpstr>
      <vt:lpstr>'Hold|Order-Log'!Print_Area</vt:lpstr>
      <vt:lpstr>Sheet1!Print_Area</vt:lpstr>
      <vt:lpstr>'Hold|Order-Log'!Print_Titles</vt:lpstr>
      <vt:lpstr>Sheet1!Print_Titles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Bikowski, Anthony</dc:creator>
  <cp:lastModifiedBy>steve aghabekian</cp:lastModifiedBy>
  <cp:lastPrinted>2026-04-29T11:54:42Z</cp:lastPrinted>
  <dcterms:created xsi:type="dcterms:W3CDTF">2016-11-09T16:35:42Z</dcterms:created>
  <dcterms:modified xsi:type="dcterms:W3CDTF">2026-05-06T15:29:41Z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0x010100269D09D911224F46A8BB14CFB16FC043</vt:lpwstr>
  </property>
  <property fmtid="{D5CDD505-2E9C-101B-9397-08002B2CF9AE}" pid="3" name="Order">
    <vt:r8>15400</vt:r8>
  </property>
  <property fmtid="{D5CDD505-2E9C-101B-9397-08002B2CF9AE}" pid="4" name="_dlc_DocIdItemGuid">
    <vt:lpwstr>c1c2e0b5-25f7-59d9-91b5-5c3b3e784a18</vt:lpwstr>
  </property>
  <property fmtid="{D5CDD505-2E9C-101B-9397-08002B2CF9AE}" pid="5" name="MediaServiceImageTags">
    <vt:lpwstr/>
  </property>
</Properties>
</file>